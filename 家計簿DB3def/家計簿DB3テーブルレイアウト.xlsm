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960" yWindow="240" windowWidth="15480" windowHeight="8985" tabRatio="955"/>
  </bookViews>
  <sheets>
    <sheet name="テーブル一覧" sheetId="2" r:id="rId1"/>
    <sheet name="支出STR" sheetId="24" r:id="rId2"/>
    <sheet name="支出" sheetId="25" r:id="rId3"/>
    <sheet name="雛型" sheetId="22" r:id="rId4"/>
    <sheet name="DefNAME" sheetId="23" r:id="rId5"/>
  </sheets>
  <definedNames>
    <definedName name="Bloks_col">DefNAME!$B$12</definedName>
    <definedName name="COL_col">DefNAME!$B$37</definedName>
    <definedName name="COL_max">DefNAME!$B$49</definedName>
    <definedName name="COL_row">DefNAME!$B$38</definedName>
    <definedName name="CTL_flag_col">DefNAME!$B$27</definedName>
    <definedName name="CTL_TS_col">DefNAME!$B$26</definedName>
    <definedName name="ctldestdir">DefNAME!$B$3</definedName>
    <definedName name="DB3file">DefNAME!$B$5</definedName>
    <definedName name="DDL_flag_col">DefNAME!$B$24</definedName>
    <definedName name="DDL_TS_col">DefNAME!$B$23</definedName>
    <definedName name="directory">DefNAME!$B$2</definedName>
    <definedName name="IDX_col">DefNAME!$B$47</definedName>
    <definedName name="IDX_max">DefNAME!$B$48</definedName>
    <definedName name="INCREASE_col">DefNAME!$B$17</definedName>
    <definedName name="INIT_col">DefNAME!$B$14</definedName>
    <definedName name="LEN_col">DefNAME!$B$41</definedName>
    <definedName name="LEN_row">DefNAME!$B$42</definedName>
    <definedName name="loaddatadir">DefNAME!$B$4</definedName>
    <definedName name="MAX_col">DefNAME!$B$16</definedName>
    <definedName name="MAX_flag_col">DefNAME!$B$25</definedName>
    <definedName name="NEXT_col">DefNAME!$B$15</definedName>
    <definedName name="NOTNULL_col">DefNAME!$B$44</definedName>
    <definedName name="PCTFREE_col">DefNAME!$B$18</definedName>
    <definedName name="PCTUSED_col">DefNAME!$B$19</definedName>
    <definedName name="PK_col">DefNAME!$B$45</definedName>
    <definedName name="PRIMARY_col">DefNAME!$B$43</definedName>
    <definedName name="_xlnm.Print_Area" localSheetId="0">テーブル一覧!$A$4:$W$44</definedName>
    <definedName name="_xlnm.Print_Area" localSheetId="2">支出!$A$1:$K$107</definedName>
    <definedName name="_xlnm.Print_Area" localSheetId="1">支出STR!$A$1:$K$107</definedName>
    <definedName name="_xlnm.Print_Area" localSheetId="3">雛型!$A$1:$K$107</definedName>
    <definedName name="RecLen_col">DefNAME!$B$10</definedName>
    <definedName name="RecPerBlock_col">DefNAME!$B$11</definedName>
    <definedName name="RecRows_col">DefNAME!$B$9</definedName>
    <definedName name="SEGMENT_col">DefNAME!$B$20</definedName>
    <definedName name="Size_col">DefNAME!$B$13</definedName>
    <definedName name="table_CD_col">DefNAME!$B$28</definedName>
    <definedName name="table_name_col">DefNAME!$B$33</definedName>
    <definedName name="table_name_row">DefNAME!$B$34</definedName>
    <definedName name="tablesheet_name_col">DefNAME!$B$8</definedName>
    <definedName name="tablespace_col">DefNAME!$B$21</definedName>
    <definedName name="tablespaceidx_col">DefNAME!$B$22</definedName>
    <definedName name="TBL_max">DefNAME!$B$30</definedName>
    <definedName name="TBL_row">DefNAME!$B$29</definedName>
    <definedName name="TBLCDNM_col">DefNAME!$B$35</definedName>
    <definedName name="TBLCDNM_row">DefNAME!$B$36</definedName>
    <definedName name="TYP_col">DefNAME!$B$39</definedName>
    <definedName name="TYP_row">DefNAME!$B$40</definedName>
    <definedName name="uniq_row">DefNAME!$B$46</definedName>
  </definedNames>
  <calcPr calcId="125725" iterate="1"/>
</workbook>
</file>

<file path=xl/calcChain.xml><?xml version="1.0" encoding="utf-8"?>
<calcChain xmlns="http://schemas.openxmlformats.org/spreadsheetml/2006/main">
  <c r="E5" i="23"/>
  <c r="E49"/>
  <c r="E48"/>
  <c r="E47"/>
  <c r="E46"/>
  <c r="E45"/>
  <c r="E44"/>
  <c r="E43"/>
  <c r="E42"/>
  <c r="E41"/>
  <c r="E40"/>
  <c r="E39"/>
  <c r="E38"/>
  <c r="E37"/>
  <c r="E36"/>
  <c r="E35"/>
  <c r="E34"/>
  <c r="E33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4"/>
  <c r="E3"/>
  <c r="E2"/>
</calcChain>
</file>

<file path=xl/comments1.xml><?xml version="1.0" encoding="utf-8"?>
<comments xmlns="http://schemas.openxmlformats.org/spreadsheetml/2006/main">
  <authors>
    <author>H.Yano</author>
  </authors>
  <commentLis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・テーブル名称の一覧を表示するには、テーブル一覧更新を実行する。
・テーブル定義を参照するには、テーブル名称を選択し、テーブル定義参照を実行する。
・あらかじめ、雛型シートをコピーし、テーブル名称をシート名に設定する必要がある。定義上はコード名を使うので通称でも良い。</t>
        </r>
      </text>
    </comment>
    <comment ref="C4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データ容量を概算するには、レコード数を入力し、見積りを実行する
</t>
        </r>
      </text>
    </comment>
    <comment ref="H4" authorId="0">
      <text>
        <r>
          <rPr>
            <b/>
            <sz val="9"/>
            <color indexed="81"/>
            <rFont val="ＭＳ Ｐゴシック"/>
            <family val="3"/>
            <charset val="128"/>
          </rPr>
          <t>テーブルが占める領域の容量を算出するには、INIT～PCTUSEDを設定し、セグメントサイズを実行する</t>
        </r>
      </text>
    </comment>
    <comment ref="K4" authorId="0">
      <text>
        <r>
          <rPr>
            <b/>
            <sz val="9"/>
            <color indexed="81"/>
            <rFont val="ＭＳ Ｐゴシック"/>
            <family val="3"/>
            <charset val="128"/>
          </rPr>
          <t>next extentの増分
通常は0を指定する</t>
        </r>
      </text>
    </comment>
    <comment ref="N4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ディスク上の容量を概算するには、セグメントサイスを実行する。
(1.5〜2 倍 してページ余白を見る)
</t>
        </r>
      </text>
    </comment>
    <comment ref="S4" authorId="0">
      <text>
        <r>
          <rPr>
            <b/>
            <sz val="9"/>
            <color indexed="81"/>
            <rFont val="ＭＳ Ｐゴシック"/>
            <family val="3"/>
            <charset val="128"/>
          </rPr>
          <t>DDLを作成するには、DDL新規欄を空白にして、DDL作成を実行する</t>
        </r>
      </text>
    </comment>
    <comment ref="T4" authorId="0">
      <text>
        <r>
          <rPr>
            <b/>
            <sz val="9"/>
            <color indexed="81"/>
            <rFont val="ＭＳ Ｐゴシック"/>
            <family val="3"/>
            <charset val="128"/>
          </rPr>
          <t>DDL作成時にmaxextentsを出力する場合は、空白以外の値(Yes)を設定する</t>
        </r>
      </text>
    </comment>
    <comment ref="V4" authorId="0">
      <text>
        <r>
          <rPr>
            <b/>
            <sz val="9"/>
            <color indexed="81"/>
            <rFont val="ＭＳ Ｐゴシック"/>
            <family val="3"/>
            <charset val="128"/>
          </rPr>
          <t>controlファイル(.import)を作成するには、CTL新規欄を空白にして、CTL作成を実行する</t>
        </r>
      </text>
    </comment>
    <comment ref="W4" authorId="0">
      <text>
        <r>
          <rPr>
            <b/>
            <sz val="9"/>
            <color indexed="81"/>
            <rFont val="ＭＳ Ｐゴシック"/>
            <family val="3"/>
            <charset val="128"/>
          </rPr>
          <t>コード名欄の内容をTBL.datに書き出すには、TBL.dat作成を実行する</t>
        </r>
      </text>
    </comment>
  </commentList>
</comments>
</file>

<file path=xl/comments2.xml><?xml version="1.0" encoding="utf-8"?>
<comments xmlns="http://schemas.openxmlformats.org/spreadsheetml/2006/main">
  <authors>
    <author>hosiyama</author>
  </authors>
  <commentLis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(Y)単一の主キーのみ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ただし複合キーは未対応。
単一の場合は「主キー」欄にYとする</t>
        </r>
      </text>
    </comment>
  </commentList>
</comments>
</file>

<file path=xl/comments3.xml><?xml version="1.0" encoding="utf-8"?>
<comments xmlns="http://schemas.openxmlformats.org/spreadsheetml/2006/main">
  <authors>
    <author>hosiyama</author>
  </authors>
  <commentLis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(Y)単一の主キーのみ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ただし複合キーは未対応。
単一の場合は「主キー」欄にYとする</t>
        </r>
      </text>
    </comment>
  </commentList>
</comments>
</file>

<file path=xl/comments4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SQLiteの主な型
CREATE TABLE sample (
    id          INTEGER PRIMARY KEY,
    name        TEXT NOT NULL,          -- 文字列
    amount      INTEGER,                -- 整数
    price       REAL,                   -- 小数
    quantity    NUMERIC,                -- 整数にも小数にも使える
    order_date   TEXT NOT NULL,             -- 'YYYY-MM-DD'
    created_at   TEXT NOT NULL DEFAULT (datetime('now', 'localtime'))
     memo        TEXT
);
sql:
date('now')
datetime('now')
datetime('now', 'localtime')
strftime('%Y-%m-%d', created_at)</t>
        </r>
      </text>
    </comment>
    <comment ref="M5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キー項目数は最大9項目までとのデータベース側の制約があるわけではない。一般的な有効範囲としている。必要ならマクロを変更できる</t>
        </r>
      </text>
    </comment>
    <comment ref="M6" authorId="0">
      <text>
        <r>
          <rPr>
            <b/>
            <sz val="9"/>
            <color indexed="81"/>
            <rFont val="ＭＳ Ｐゴシック"/>
            <family val="3"/>
            <charset val="128"/>
          </rPr>
          <t>unique出ない場合はこの欄を空白にすること</t>
        </r>
      </text>
    </commen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Y:主キー
実際にはPrimary key欄の順序設定に従う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空白以外NULL制約あり
: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あわせて「主キー」欄にYとする
キー項目数は最大9項目までとのデータベース側の制約があるわけではない。一般的な有効範囲としている。必要ならマクロを変更できる</t>
        </r>
      </text>
    </comment>
  </commentList>
</comments>
</file>

<file path=xl/sharedStrings.xml><?xml version="1.0" encoding="utf-8"?>
<sst xmlns="http://schemas.openxmlformats.org/spreadsheetml/2006/main" count="352" uniqueCount="185">
  <si>
    <t>ﾚｺｰﾄﾞ数</t>
  </si>
  <si>
    <t>１ﾚｺｰﾄﾞ(B)</t>
  </si>
  <si>
    <t>ﾚｺｰﾄﾞ/ﾌﾞﾛｯｸ</t>
  </si>
  <si>
    <t>使用ﾌﾞﾛｯｸ</t>
  </si>
  <si>
    <t>合計(KB)</t>
  </si>
  <si>
    <t>INIT(K)</t>
  </si>
  <si>
    <t>NEXT(K)</t>
  </si>
  <si>
    <t>MAX</t>
  </si>
  <si>
    <t>INCREASE</t>
  </si>
  <si>
    <t>PCTFREE</t>
  </si>
  <si>
    <t>PCTUSED</t>
  </si>
  <si>
    <t>最大合計(KB)</t>
  </si>
  <si>
    <t>表領域(DATA)</t>
  </si>
  <si>
    <t>表領域(INDEX)</t>
  </si>
  <si>
    <t>USER NAME</t>
  </si>
  <si>
    <t>DDL作成日付</t>
  </si>
  <si>
    <t>DDL新規</t>
  </si>
  <si>
    <t>MAX作成</t>
  </si>
  <si>
    <t>表領域</t>
  </si>
  <si>
    <t>ﾌｧｲﾙｻｲｽﾞ(M)</t>
  </si>
  <si>
    <t>合計値(M)</t>
  </si>
  <si>
    <t>コード名</t>
  </si>
  <si>
    <t>項目</t>
  </si>
  <si>
    <t>カラム名</t>
  </si>
  <si>
    <t>ドメイン</t>
  </si>
  <si>
    <t>TYPE</t>
  </si>
  <si>
    <t>桁数</t>
  </si>
  <si>
    <t>主キー</t>
  </si>
  <si>
    <t>Not Null</t>
  </si>
  <si>
    <t>INDEX</t>
  </si>
  <si>
    <t>Primary key</t>
  </si>
  <si>
    <t>VALUE</t>
  </si>
  <si>
    <t>備考</t>
  </si>
  <si>
    <t>CTL作成日</t>
    <rPh sb="3" eb="6">
      <t>サクセイビ</t>
    </rPh>
    <phoneticPr fontId="4"/>
  </si>
  <si>
    <t>CTL新規</t>
    <rPh sb="3" eb="5">
      <t>シンキ</t>
    </rPh>
    <phoneticPr fontId="4"/>
  </si>
  <si>
    <t>ctldestdir</t>
    <phoneticPr fontId="4"/>
  </si>
  <si>
    <t>directory</t>
    <phoneticPr fontId="4"/>
  </si>
  <si>
    <t>idx00</t>
  </si>
  <si>
    <t>idx01</t>
  </si>
  <si>
    <t>idx02</t>
  </si>
  <si>
    <t>idx03</t>
  </si>
  <si>
    <t>idx04</t>
  </si>
  <si>
    <t>idx05</t>
  </si>
  <si>
    <t>idx06</t>
  </si>
  <si>
    <t>idx07</t>
  </si>
  <si>
    <t>idx08</t>
  </si>
  <si>
    <t>idx09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</si>
  <si>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</si>
  <si>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</si>
  <si>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</si>
  <si>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</si>
  <si>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</si>
  <si>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</si>
  <si>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</si>
  <si>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</si>
  <si>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</si>
  <si>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</si>
  <si>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↓必須ではない</t>
  </si>
  <si>
    <r>
      <t>N</t>
    </r>
    <r>
      <rPr>
        <sz val="9"/>
        <rFont val="ＭＳ ゴシック"/>
        <family val="3"/>
        <charset val="128"/>
      </rPr>
      <t>o.</t>
    </r>
    <phoneticPr fontId="2"/>
  </si>
  <si>
    <t>短い説明</t>
    <rPh sb="0" eb="1">
      <t>ミジカ</t>
    </rPh>
    <rPh sb="2" eb="4">
      <t>セツメイ</t>
    </rPh>
    <phoneticPr fontId="2"/>
  </si>
  <si>
    <t>短縮コード</t>
    <rPh sb="0" eb="2">
      <t>タンシュク</t>
    </rPh>
    <phoneticPr fontId="2"/>
  </si>
  <si>
    <t>テーブル名称</t>
    <rPh sb="4" eb="6">
      <t>メイショウ</t>
    </rPh>
    <phoneticPr fontId="4"/>
  </si>
  <si>
    <t>テーブル名称</t>
    <rPh sb="4" eb="6">
      <t>メイショウ</t>
    </rPh>
    <phoneticPr fontId="2"/>
  </si>
  <si>
    <t>コード名</t>
    <rPh sb="3" eb="4">
      <t>メイ</t>
    </rPh>
    <phoneticPr fontId="4"/>
  </si>
  <si>
    <t>unique</t>
    <phoneticPr fontId="2"/>
  </si>
  <si>
    <t>Load Dataの置いてあるデイレクトリ</t>
    <rPh sb="10" eb="11">
      <t>オ</t>
    </rPh>
    <phoneticPr fontId="4"/>
  </si>
  <si>
    <t>loaddatadir</t>
    <phoneticPr fontId="4"/>
  </si>
  <si>
    <t>table_name_col</t>
    <phoneticPr fontId="4"/>
  </si>
  <si>
    <t>table_name_row</t>
    <phoneticPr fontId="4"/>
  </si>
  <si>
    <t>table_CD_col</t>
    <phoneticPr fontId="4"/>
  </si>
  <si>
    <t>tablespace_col</t>
    <phoneticPr fontId="4"/>
  </si>
  <si>
    <t>tablespaceidx_col</t>
    <phoneticPr fontId="4"/>
  </si>
  <si>
    <t>INIT_col</t>
    <phoneticPr fontId="4"/>
  </si>
  <si>
    <t>NEXT_col</t>
    <phoneticPr fontId="4"/>
  </si>
  <si>
    <t>MAX_col</t>
    <phoneticPr fontId="4"/>
  </si>
  <si>
    <t>INCREASE_col</t>
    <phoneticPr fontId="4"/>
  </si>
  <si>
    <t>PCTFREE_col</t>
    <phoneticPr fontId="4"/>
  </si>
  <si>
    <t>PCTUSED_col</t>
    <phoneticPr fontId="4"/>
  </si>
  <si>
    <t>CTLファイル出力デレクトリ</t>
    <rPh sb="7" eb="9">
      <t>シュツリョク</t>
    </rPh>
    <phoneticPr fontId="4"/>
  </si>
  <si>
    <t>COL_row</t>
    <phoneticPr fontId="4"/>
  </si>
  <si>
    <t>COL_col</t>
    <phoneticPr fontId="4"/>
  </si>
  <si>
    <t>TYP_col</t>
    <phoneticPr fontId="4"/>
  </si>
  <si>
    <t>TYP_row</t>
    <phoneticPr fontId="4"/>
  </si>
  <si>
    <t>LEN_col</t>
    <phoneticPr fontId="4"/>
  </si>
  <si>
    <t>LEN_row</t>
    <phoneticPr fontId="4"/>
  </si>
  <si>
    <t>TBL_row</t>
    <phoneticPr fontId="4"/>
  </si>
  <si>
    <t>TBL_max</t>
    <phoneticPr fontId="4"/>
  </si>
  <si>
    <t>COL_max</t>
    <phoneticPr fontId="4"/>
  </si>
  <si>
    <t>TBLCDNM_col</t>
    <phoneticPr fontId="4"/>
  </si>
  <si>
    <t>↓名前</t>
    <rPh sb="1" eb="3">
      <t>ナマエ</t>
    </rPh>
    <phoneticPr fontId="4"/>
  </si>
  <si>
    <t>↓設定値</t>
    <rPh sb="1" eb="4">
      <t>セッテイチ</t>
    </rPh>
    <phoneticPr fontId="4"/>
  </si>
  <si>
    <t>↓名前を使った設定値参照</t>
    <rPh sb="1" eb="3">
      <t>ナマエ</t>
    </rPh>
    <rPh sb="4" eb="5">
      <t>ツカ</t>
    </rPh>
    <rPh sb="7" eb="10">
      <t>セッテイチ</t>
    </rPh>
    <rPh sb="10" eb="12">
      <t>サンショウ</t>
    </rPh>
    <phoneticPr fontId="4"/>
  </si>
  <si>
    <t>DDL,TBL.datファイル出力デレクトリ</t>
    <rPh sb="15" eb="17">
      <t>シュツリョク</t>
    </rPh>
    <phoneticPr fontId="4"/>
  </si>
  <si>
    <t>RecLen_col</t>
    <phoneticPr fontId="4"/>
  </si>
  <si>
    <t>RecPerBlock_col</t>
    <phoneticPr fontId="4"/>
  </si>
  <si>
    <t>Bloks_col</t>
    <phoneticPr fontId="4"/>
  </si>
  <si>
    <t>Size_col</t>
    <phoneticPr fontId="4"/>
  </si>
  <si>
    <t>RecRows_col</t>
    <phoneticPr fontId="4"/>
  </si>
  <si>
    <t>SEGMENT_col</t>
    <phoneticPr fontId="4"/>
  </si>
  <si>
    <t>テーブル一覧のテーブル数</t>
    <rPh sb="4" eb="6">
      <t>イチラン</t>
    </rPh>
    <phoneticPr fontId="4"/>
  </si>
  <si>
    <t>NOTNULL_col</t>
    <phoneticPr fontId="4"/>
  </si>
  <si>
    <t>カラム名（フィールド名）の列位置</t>
    <phoneticPr fontId="4"/>
  </si>
  <si>
    <t>Not Nullの列位置</t>
    <phoneticPr fontId="4"/>
  </si>
  <si>
    <t>DDL_TS_col</t>
    <phoneticPr fontId="4"/>
  </si>
  <si>
    <t>DDL_flag_col</t>
    <phoneticPr fontId="4"/>
  </si>
  <si>
    <t>テーブル名の列位置</t>
    <rPh sb="7" eb="9">
      <t>イチ</t>
    </rPh>
    <phoneticPr fontId="4"/>
  </si>
  <si>
    <t>テーブル名の行位置</t>
    <rPh sb="7" eb="9">
      <t>イチ</t>
    </rPh>
    <phoneticPr fontId="4"/>
  </si>
  <si>
    <t>CTL_TS_col</t>
    <phoneticPr fontId="4"/>
  </si>
  <si>
    <t>CTL_flag_col</t>
    <phoneticPr fontId="4"/>
  </si>
  <si>
    <t>MAX_flag_col</t>
    <phoneticPr fontId="4"/>
  </si>
  <si>
    <t>プライマリキーの列位置</t>
    <phoneticPr fontId="4"/>
  </si>
  <si>
    <t>PK_col</t>
    <phoneticPr fontId="4"/>
  </si>
  <si>
    <t>IDX_col</t>
    <phoneticPr fontId="4"/>
  </si>
  <si>
    <t>インデックスの最初の列位置</t>
    <rPh sb="7" eb="9">
      <t>サイショ</t>
    </rPh>
    <rPh sb="11" eb="13">
      <t>イチ</t>
    </rPh>
    <phoneticPr fontId="4"/>
  </si>
  <si>
    <t>説明</t>
    <rPh sb="0" eb="2">
      <t>セツメイ</t>
    </rPh>
    <phoneticPr fontId="4"/>
  </si>
  <si>
    <t>インデックスのuniqフラグの行位置</t>
    <rPh sb="15" eb="16">
      <t>ギョウ</t>
    </rPh>
    <rPh sb="16" eb="18">
      <t>イチ</t>
    </rPh>
    <phoneticPr fontId="4"/>
  </si>
  <si>
    <t>uniq_row</t>
    <phoneticPr fontId="4"/>
  </si>
  <si>
    <t>PRIMARY_col</t>
    <phoneticPr fontId="4"/>
  </si>
  <si>
    <t>データタイプの列位置</t>
    <phoneticPr fontId="4"/>
  </si>
  <si>
    <t>データ長の列位置</t>
    <phoneticPr fontId="4"/>
  </si>
  <si>
    <t>主キーの列位置</t>
    <rPh sb="0" eb="1">
      <t>シュ</t>
    </rPh>
    <rPh sb="4" eb="7">
      <t>レツイチ</t>
    </rPh>
    <phoneticPr fontId="4"/>
  </si>
  <si>
    <t>支出STR</t>
  </si>
  <si>
    <t>支出STR (3)</t>
  </si>
  <si>
    <t>No.</t>
    <phoneticPr fontId="4"/>
  </si>
  <si>
    <t>tablesheet_name_col</t>
    <phoneticPr fontId="4"/>
  </si>
  <si>
    <r>
      <t>idxNNがunique indexの場合は下の欄にuniqueを記入する。対応するカラムに順序(1～</t>
    </r>
    <r>
      <rPr>
        <sz val="9"/>
        <rFont val="ＭＳ ゴシック"/>
        <family val="3"/>
        <charset val="128"/>
      </rPr>
      <t>9</t>
    </r>
    <r>
      <rPr>
        <sz val="9"/>
        <rFont val="ＭＳ ゴシック"/>
        <family val="3"/>
        <charset val="128"/>
      </rPr>
      <t>)を設定する</t>
    </r>
    <phoneticPr fontId="2"/>
  </si>
  <si>
    <t>テーブルシート名</t>
    <phoneticPr fontId="4"/>
  </si>
  <si>
    <t>DDL作成日付</t>
    <rPh sb="3" eb="5">
      <t>サクセイ</t>
    </rPh>
    <rPh sb="5" eb="7">
      <t>ヒヅケ</t>
    </rPh>
    <phoneticPr fontId="4"/>
  </si>
  <si>
    <t>DDL新規</t>
    <rPh sb="3" eb="5">
      <t>シンキ</t>
    </rPh>
    <phoneticPr fontId="4"/>
  </si>
  <si>
    <t>MAXフラグ</t>
    <phoneticPr fontId="4"/>
  </si>
  <si>
    <t>CTL作成日付</t>
    <rPh sb="3" eb="5">
      <t>サクセイ</t>
    </rPh>
    <rPh sb="5" eb="7">
      <t>ヒヅケ</t>
    </rPh>
    <phoneticPr fontId="4"/>
  </si>
  <si>
    <t>テーブル一覧上のコード名</t>
    <rPh sb="4" eb="6">
      <t>イチラン</t>
    </rPh>
    <rPh sb="6" eb="7">
      <t>ジョウ</t>
    </rPh>
    <phoneticPr fontId="4"/>
  </si>
  <si>
    <t>-----    テーブル定義シートの位置</t>
    <rPh sb="13" eb="15">
      <t>テイギ</t>
    </rPh>
    <phoneticPr fontId="4"/>
  </si>
  <si>
    <t>テーブル一覧の最初の行位置</t>
    <rPh sb="7" eb="9">
      <t>サイショ</t>
    </rPh>
    <rPh sb="10" eb="13">
      <t>ギョウイチ</t>
    </rPh>
    <phoneticPr fontId="4"/>
  </si>
  <si>
    <t>テーブル名（コード名）の列位置</t>
    <phoneticPr fontId="4"/>
  </si>
  <si>
    <t>テーブル名（コード名）の行位置</t>
    <phoneticPr fontId="4"/>
  </si>
  <si>
    <t>カラム名（フィールド名）の最初の位置</t>
    <phoneticPr fontId="4"/>
  </si>
  <si>
    <t>データタイプの最初の行位置</t>
    <phoneticPr fontId="4"/>
  </si>
  <si>
    <t>データ長の最初の行位置</t>
    <phoneticPr fontId="4"/>
  </si>
  <si>
    <t>IDX_max</t>
    <phoneticPr fontId="4"/>
  </si>
  <si>
    <t>設定できるテーブルのフィールド数(カラム数)</t>
    <phoneticPr fontId="4"/>
  </si>
  <si>
    <t>設定できるインデックス数</t>
    <rPh sb="11" eb="12">
      <t>スウ</t>
    </rPh>
    <phoneticPr fontId="4"/>
  </si>
  <si>
    <t>TBLCDNM_row</t>
    <phoneticPr fontId="4"/>
  </si>
  <si>
    <t>-----    テーブル一覧シートのカラム位置</t>
    <phoneticPr fontId="4"/>
  </si>
  <si>
    <t>支出STR</t>
    <rPh sb="0" eb="2">
      <t>シシュツ</t>
    </rPh>
    <phoneticPr fontId="2"/>
  </si>
  <si>
    <t>支出.CSVファイルからのインポートによって作成する調整前の一時データ</t>
    <rPh sb="0" eb="2">
      <t>シシュツ</t>
    </rPh>
    <rPh sb="22" eb="24">
      <t>サクセイ</t>
    </rPh>
    <rPh sb="26" eb="28">
      <t>チョウセイ</t>
    </rPh>
    <rPh sb="28" eb="29">
      <t>マエ</t>
    </rPh>
    <rPh sb="30" eb="32">
      <t>イチジ</t>
    </rPh>
    <phoneticPr fontId="2"/>
  </si>
  <si>
    <t>idxNNがunique indexの場合は下の欄にuniqueを記入する。対応するカラムに順序(1～)を設定する</t>
    <phoneticPr fontId="2"/>
  </si>
  <si>
    <t>No.</t>
  </si>
  <si>
    <t>No.</t>
    <phoneticPr fontId="2"/>
  </si>
  <si>
    <t>TEXT</t>
    <phoneticPr fontId="2"/>
  </si>
  <si>
    <t>日付</t>
    <rPh sb="0" eb="2">
      <t>ヒヅケ</t>
    </rPh>
    <phoneticPr fontId="9"/>
  </si>
  <si>
    <t>口座</t>
    <rPh sb="0" eb="2">
      <t>コウザ</t>
    </rPh>
    <phoneticPr fontId="9"/>
  </si>
  <si>
    <t>大分類</t>
    <rPh sb="0" eb="3">
      <t>ダイブンルイ</t>
    </rPh>
    <phoneticPr fontId="9"/>
  </si>
  <si>
    <t>中分類</t>
    <rPh sb="0" eb="1">
      <t>チュウ</t>
    </rPh>
    <rPh sb="1" eb="3">
      <t>ブンルイ</t>
    </rPh>
    <phoneticPr fontId="9"/>
  </si>
  <si>
    <t>小分類</t>
    <rPh sb="0" eb="3">
      <t>ショウブンルイ</t>
    </rPh>
    <phoneticPr fontId="9"/>
  </si>
  <si>
    <t>項目</t>
    <rPh sb="0" eb="2">
      <t>コウモク</t>
    </rPh>
    <phoneticPr fontId="9"/>
  </si>
  <si>
    <t>数量</t>
    <rPh sb="0" eb="2">
      <t>スウリョウ</t>
    </rPh>
    <phoneticPr fontId="9"/>
  </si>
  <si>
    <t>金額</t>
    <rPh sb="0" eb="2">
      <t>キンガク</t>
    </rPh>
    <phoneticPr fontId="9"/>
  </si>
  <si>
    <t>取引先</t>
    <rPh sb="0" eb="3">
      <t>トリヒキサキ</t>
    </rPh>
    <phoneticPr fontId="9"/>
  </si>
  <si>
    <t>備考</t>
    <rPh sb="0" eb="2">
      <t>ビコウ</t>
    </rPh>
    <phoneticPr fontId="9"/>
  </si>
  <si>
    <t>周期</t>
    <rPh sb="0" eb="2">
      <t>シュウキ</t>
    </rPh>
    <phoneticPr fontId="9"/>
  </si>
  <si>
    <t>Mark</t>
  </si>
  <si>
    <t>支出</t>
    <rPh sb="0" eb="2">
      <t>シシュツ</t>
    </rPh>
    <phoneticPr fontId="2"/>
  </si>
  <si>
    <t>No</t>
    <phoneticPr fontId="2"/>
  </si>
  <si>
    <t>INTEGER</t>
    <phoneticPr fontId="2"/>
  </si>
  <si>
    <t>Y</t>
    <phoneticPr fontId="6"/>
  </si>
  <si>
    <t>支出STR・日付を'YYYY-MM-DD'に変換する</t>
    <rPh sb="22" eb="24">
      <t>ヘンカン</t>
    </rPh>
    <phoneticPr fontId="2"/>
  </si>
  <si>
    <t>numeric</t>
    <phoneticPr fontId="2"/>
  </si>
  <si>
    <t xml:space="preserve">支出STR・数量STRをnumeric型に変換する
</t>
    <phoneticPr fontId="2"/>
  </si>
  <si>
    <t>支出STR・金額STRをnumeric型に変換する</t>
    <phoneticPr fontId="2"/>
  </si>
  <si>
    <t>日付年</t>
    <rPh sb="0" eb="2">
      <t>ヒヅケ</t>
    </rPh>
    <rPh sb="2" eb="3">
      <t>ネン</t>
    </rPh>
    <phoneticPr fontId="6"/>
  </si>
  <si>
    <r>
      <t>Y</t>
    </r>
    <r>
      <rPr>
        <sz val="9"/>
        <rFont val="ＭＳ ゴシック"/>
        <family val="3"/>
        <charset val="128"/>
      </rPr>
      <t>Y</t>
    </r>
    <phoneticPr fontId="6"/>
  </si>
  <si>
    <t>支出STR・日付のYYYYをINTEGER型に変換する</t>
    <rPh sb="0" eb="2">
      <t>シシュツ</t>
    </rPh>
    <rPh sb="6" eb="8">
      <t>ヒヅケ</t>
    </rPh>
    <rPh sb="21" eb="22">
      <t>ガタ</t>
    </rPh>
    <rPh sb="23" eb="25">
      <t>ヘンカン</t>
    </rPh>
    <phoneticPr fontId="6"/>
  </si>
  <si>
    <t>日付年月</t>
    <rPh sb="0" eb="2">
      <t>ヒヅケ</t>
    </rPh>
    <rPh sb="2" eb="4">
      <t>ネンゲツ</t>
    </rPh>
    <phoneticPr fontId="6"/>
  </si>
  <si>
    <t>YM</t>
    <phoneticPr fontId="6"/>
  </si>
  <si>
    <t>支出STR・日付のYYYY/MをINTEGER型に変換する</t>
    <rPh sb="6" eb="8">
      <t>ヒヅケ</t>
    </rPh>
    <rPh sb="23" eb="24">
      <t>ガタ</t>
    </rPh>
    <rPh sb="25" eb="27">
      <t>ヘンカン</t>
    </rPh>
    <phoneticPr fontId="6"/>
  </si>
  <si>
    <t>支出</t>
  </si>
  <si>
    <t>作成済</t>
  </si>
  <si>
    <t>対象外</t>
    <rPh sb="0" eb="3">
      <t>タイショウガイ</t>
    </rPh>
    <phoneticPr fontId="4"/>
  </si>
  <si>
    <t>家計簿.db3</t>
    <rPh sb="0" eb="3">
      <t>カケイボ</t>
    </rPh>
    <phoneticPr fontId="4"/>
  </si>
  <si>
    <t>DB3file</t>
    <phoneticPr fontId="4"/>
  </si>
  <si>
    <t>支出STRからのデータ型調整後データ</t>
    <rPh sb="0" eb="2">
      <t>シシュツ</t>
    </rPh>
    <rPh sb="11" eb="12">
      <t>カタ</t>
    </rPh>
    <rPh sb="12" eb="15">
      <t>チョウセイゴ</t>
    </rPh>
    <phoneticPr fontId="2"/>
  </si>
  <si>
    <t>SQLite Database file</t>
    <phoneticPr fontId="4"/>
  </si>
  <si>
    <t>G:\CMD\家計簿DB3def</t>
    <rPh sb="7" eb="10">
      <t>カケイボ</t>
    </rPh>
    <phoneticPr fontId="4"/>
  </si>
  <si>
    <t>G:\CMD\家計簿DB3data</t>
    <rPh sb="7" eb="10">
      <t>カケイボ</t>
    </rPh>
    <phoneticPr fontId="4"/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</si>
</sst>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176" formatCode="#,##0_ ;[Red]\-#,##0\ "/>
    <numFmt numFmtId="177" formatCode="\ \ \ \ \ \ \ \ \ \ \ \ \ \ \ \ \ \ \ \ \ \ \ \ \ \ \ \ \ \ @"/>
    <numFmt numFmtId="178" formatCode="\ \ \ \ \ \ \ \ \ \ \ \ \ \ \ \ \ &quot;更新日&quot;\ \ \ \ \ yyyy&quot;年&quot;mm&quot;月&quot;dd&quot;日&quot;"/>
    <numFmt numFmtId="179" formatCode="0_);[Red]\(0\)"/>
  </numFmts>
  <fonts count="10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9"/>
      <color indexed="12"/>
      <name val="ＭＳ ゴシック"/>
      <family val="3"/>
      <charset val="128"/>
    </font>
    <font>
      <sz val="11"/>
      <color rgb="FF9C650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24"/>
      </patternFill>
    </fill>
    <fill>
      <patternFill patternType="solid">
        <fgColor indexed="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38"/>
      </top>
      <bottom style="thin">
        <color indexed="8"/>
      </bottom>
      <diagonal/>
    </border>
    <border>
      <left style="hair">
        <color indexed="64"/>
      </left>
      <right/>
      <top/>
      <bottom/>
      <diagonal/>
    </border>
    <border>
      <left style="thin">
        <color indexed="38"/>
      </left>
      <right/>
      <top style="thin">
        <color indexed="38"/>
      </top>
      <bottom style="hair">
        <color indexed="38"/>
      </bottom>
      <diagonal/>
    </border>
    <border>
      <left/>
      <right/>
      <top style="thin">
        <color indexed="38"/>
      </top>
      <bottom style="hair">
        <color indexed="38"/>
      </bottom>
      <diagonal/>
    </border>
    <border>
      <left/>
      <right style="thin">
        <color indexed="38"/>
      </right>
      <top style="thin">
        <color indexed="38"/>
      </top>
      <bottom style="hair">
        <color indexed="38"/>
      </bottom>
      <diagonal/>
    </border>
    <border>
      <left style="thin">
        <color indexed="38"/>
      </left>
      <right style="hair">
        <color indexed="38"/>
      </right>
      <top style="hair">
        <color indexed="38"/>
      </top>
      <bottom style="thin">
        <color indexed="38"/>
      </bottom>
      <diagonal/>
    </border>
    <border>
      <left style="hair">
        <color indexed="38"/>
      </left>
      <right style="hair">
        <color indexed="38"/>
      </right>
      <top style="hair">
        <color indexed="38"/>
      </top>
      <bottom style="thin">
        <color indexed="38"/>
      </bottom>
      <diagonal/>
    </border>
    <border>
      <left style="hair">
        <color indexed="38"/>
      </left>
      <right style="thin">
        <color indexed="38"/>
      </right>
      <top style="hair">
        <color indexed="38"/>
      </top>
      <bottom style="thin">
        <color indexed="38"/>
      </bottom>
      <diagonal/>
    </border>
    <border>
      <left style="thick">
        <color indexed="38"/>
      </left>
      <right/>
      <top/>
      <bottom/>
      <diagonal/>
    </border>
    <border>
      <left style="hair">
        <color indexed="64"/>
      </left>
      <right style="thick">
        <color indexed="38"/>
      </right>
      <top/>
      <bottom/>
      <diagonal/>
    </border>
    <border>
      <left style="thick">
        <color indexed="3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thick">
        <color indexed="3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64"/>
      </left>
      <right/>
      <top/>
      <bottom style="thick">
        <color indexed="38"/>
      </bottom>
      <diagonal/>
    </border>
    <border>
      <left style="hair">
        <color indexed="64"/>
      </left>
      <right style="thick">
        <color indexed="38"/>
      </right>
      <top/>
      <bottom style="thick">
        <color indexed="38"/>
      </bottom>
      <diagonal/>
    </border>
    <border>
      <left style="thick">
        <color indexed="38"/>
      </left>
      <right style="hair">
        <color indexed="8"/>
      </right>
      <top/>
      <bottom style="thin">
        <color indexed="38"/>
      </bottom>
      <diagonal/>
    </border>
    <border>
      <left style="hair">
        <color indexed="8"/>
      </left>
      <right style="hair">
        <color indexed="8"/>
      </right>
      <top/>
      <bottom style="thin">
        <color indexed="38"/>
      </bottom>
      <diagonal/>
    </border>
    <border>
      <left style="thick">
        <color indexed="38"/>
      </left>
      <right/>
      <top style="thick">
        <color indexed="38"/>
      </top>
      <bottom style="thin">
        <color indexed="64"/>
      </bottom>
      <diagonal/>
    </border>
    <border>
      <left style="hair">
        <color indexed="64"/>
      </left>
      <right/>
      <top style="thick">
        <color indexed="38"/>
      </top>
      <bottom style="thin">
        <color indexed="64"/>
      </bottom>
      <diagonal/>
    </border>
    <border>
      <left style="thin">
        <color indexed="8"/>
      </left>
      <right style="hair">
        <color indexed="38"/>
      </right>
      <top style="thin">
        <color indexed="38"/>
      </top>
      <bottom style="thin">
        <color indexed="8"/>
      </bottom>
      <diagonal/>
    </border>
    <border>
      <left style="hair">
        <color indexed="38"/>
      </left>
      <right style="hair">
        <color indexed="38"/>
      </right>
      <top style="thin">
        <color indexed="38"/>
      </top>
      <bottom style="thin">
        <color indexed="8"/>
      </bottom>
      <diagonal/>
    </border>
    <border>
      <left style="hair">
        <color indexed="38"/>
      </left>
      <right style="thin">
        <color indexed="8"/>
      </right>
      <top style="thin">
        <color indexed="38"/>
      </top>
      <bottom style="thin">
        <color indexed="8"/>
      </bottom>
      <diagonal/>
    </border>
    <border>
      <left/>
      <right/>
      <top style="thick">
        <color indexed="38"/>
      </top>
      <bottom/>
      <diagonal/>
    </border>
    <border>
      <left/>
      <right/>
      <top/>
      <bottom style="thick">
        <color indexed="38"/>
      </bottom>
      <diagonal/>
    </border>
    <border>
      <left style="thick">
        <color indexed="21"/>
      </left>
      <right style="hair">
        <color indexed="64"/>
      </right>
      <top/>
      <bottom style="thick">
        <color indexed="3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thick">
        <color indexed="21"/>
      </right>
      <top style="thick">
        <color indexed="3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  <xf numFmtId="0" fontId="3" fillId="0" borderId="0"/>
    <xf numFmtId="0" fontId="3" fillId="0" borderId="0"/>
  </cellStyleXfs>
  <cellXfs count="190">
    <xf numFmtId="0" fontId="0" fillId="0" borderId="0" xfId="0"/>
    <xf numFmtId="38" fontId="0" fillId="0" borderId="0" xfId="2" applyFont="1" applyAlignment="1" applyProtection="1">
      <alignment horizontal="right"/>
      <protection locked="0"/>
    </xf>
    <xf numFmtId="38" fontId="0" fillId="0" borderId="0" xfId="2" applyFont="1" applyAlignment="1">
      <alignment horizontal="right"/>
    </xf>
    <xf numFmtId="0" fontId="0" fillId="0" borderId="0" xfId="0" applyAlignment="1">
      <alignment horizontal="right"/>
    </xf>
    <xf numFmtId="43" fontId="0" fillId="0" borderId="0" xfId="2" applyNumberFormat="1" applyFont="1" applyAlignment="1">
      <alignment horizontal="right"/>
    </xf>
    <xf numFmtId="0" fontId="0" fillId="2" borderId="9" xfId="0" applyFill="1" applyBorder="1" applyAlignment="1">
      <alignment horizontal="centerContinuous"/>
    </xf>
    <xf numFmtId="0" fontId="0" fillId="2" borderId="2" xfId="0" applyFill="1" applyBorder="1" applyAlignment="1">
      <alignment horizontal="centerContinuous"/>
    </xf>
    <xf numFmtId="0" fontId="0" fillId="0" borderId="5" xfId="0" applyBorder="1"/>
    <xf numFmtId="38" fontId="0" fillId="0" borderId="5" xfId="2" applyFont="1" applyBorder="1"/>
    <xf numFmtId="0" fontId="0" fillId="0" borderId="3" xfId="0" applyBorder="1"/>
    <xf numFmtId="0" fontId="0" fillId="0" borderId="6" xfId="0" applyBorder="1"/>
    <xf numFmtId="38" fontId="0" fillId="0" borderId="8" xfId="2" applyFont="1" applyBorder="1"/>
    <xf numFmtId="0" fontId="0" fillId="2" borderId="1" xfId="0" applyFill="1" applyBorder="1" applyAlignment="1">
      <alignment horizontal="centerContinuous"/>
    </xf>
    <xf numFmtId="176" fontId="0" fillId="0" borderId="4" xfId="2" applyNumberFormat="1" applyFont="1" applyBorder="1"/>
    <xf numFmtId="176" fontId="0" fillId="0" borderId="7" xfId="2" applyNumberFormat="1" applyFont="1" applyBorder="1"/>
    <xf numFmtId="0" fontId="0" fillId="0" borderId="0" xfId="0" applyProtection="1">
      <protection locked="0"/>
    </xf>
    <xf numFmtId="0" fontId="1" fillId="0" borderId="0" xfId="3" applyFont="1" applyBorder="1"/>
    <xf numFmtId="0" fontId="1" fillId="0" borderId="0" xfId="0" applyFont="1"/>
    <xf numFmtId="177" fontId="1" fillId="0" borderId="0" xfId="3" applyNumberFormat="1" applyFont="1" applyBorder="1" applyAlignment="1">
      <alignment horizontal="left"/>
    </xf>
    <xf numFmtId="0" fontId="1" fillId="0" borderId="0" xfId="3" applyFont="1" applyFill="1"/>
    <xf numFmtId="0" fontId="1" fillId="0" borderId="0" xfId="3" applyFont="1"/>
    <xf numFmtId="14" fontId="1" fillId="0" borderId="0" xfId="3" applyNumberFormat="1" applyFont="1"/>
    <xf numFmtId="0" fontId="1" fillId="4" borderId="10" xfId="3" applyFont="1" applyFill="1" applyBorder="1"/>
    <xf numFmtId="178" fontId="1" fillId="0" borderId="0" xfId="0" applyNumberFormat="1" applyFont="1" applyAlignment="1">
      <alignment horizontal="left"/>
    </xf>
    <xf numFmtId="0" fontId="1" fillId="0" borderId="5" xfId="3" applyFont="1" applyFill="1" applyBorder="1"/>
    <xf numFmtId="0" fontId="3" fillId="0" borderId="5" xfId="4" applyFont="1" applyBorder="1"/>
    <xf numFmtId="0" fontId="1" fillId="0" borderId="11" xfId="3" applyFont="1" applyFill="1" applyBorder="1" applyAlignment="1">
      <alignment horizontal="left" vertical="top"/>
    </xf>
    <xf numFmtId="0" fontId="1" fillId="0" borderId="13" xfId="3" applyFont="1" applyBorder="1"/>
    <xf numFmtId="0" fontId="1" fillId="0" borderId="14" xfId="3" applyFont="1" applyBorder="1"/>
    <xf numFmtId="0" fontId="1" fillId="0" borderId="15" xfId="3" applyFont="1" applyBorder="1"/>
    <xf numFmtId="0" fontId="1" fillId="0" borderId="16" xfId="3" applyFont="1" applyBorder="1"/>
    <xf numFmtId="0" fontId="1" fillId="0" borderId="17" xfId="3" applyFont="1" applyBorder="1"/>
    <xf numFmtId="0" fontId="1" fillId="5" borderId="18" xfId="3" applyFont="1" applyFill="1" applyBorder="1" applyAlignment="1">
      <alignment vertical="top" wrapText="1"/>
    </xf>
    <xf numFmtId="0" fontId="1" fillId="5" borderId="11" xfId="3" applyFont="1" applyFill="1" applyBorder="1" applyAlignment="1">
      <alignment horizontal="left" vertical="top"/>
    </xf>
    <xf numFmtId="0" fontId="1" fillId="5" borderId="11" xfId="3" applyFont="1" applyFill="1" applyBorder="1"/>
    <xf numFmtId="0" fontId="1" fillId="5" borderId="11" xfId="3" applyFont="1" applyFill="1" applyBorder="1" applyAlignment="1">
      <alignment vertical="top" wrapText="1"/>
    </xf>
    <xf numFmtId="0" fontId="1" fillId="6" borderId="19" xfId="3" applyFont="1" applyFill="1" applyBorder="1" applyAlignment="1">
      <alignment horizontal="justify" vertical="top" wrapText="1"/>
    </xf>
    <xf numFmtId="0" fontId="1" fillId="5" borderId="20" xfId="3" applyFont="1" applyFill="1" applyBorder="1"/>
    <xf numFmtId="0" fontId="1" fillId="5" borderId="21" xfId="3" applyFont="1" applyFill="1" applyBorder="1"/>
    <xf numFmtId="0" fontId="1" fillId="6" borderId="21" xfId="3" applyFont="1" applyFill="1" applyBorder="1" applyAlignment="1">
      <alignment vertical="top" wrapText="1"/>
    </xf>
    <xf numFmtId="0" fontId="1" fillId="0" borderId="18" xfId="3" applyFont="1" applyFill="1" applyBorder="1" applyAlignment="1">
      <alignment vertical="top" wrapText="1"/>
    </xf>
    <xf numFmtId="0" fontId="1" fillId="0" borderId="11" xfId="3" applyFont="1" applyFill="1" applyBorder="1" applyAlignment="1">
      <alignment vertical="top" wrapText="1"/>
    </xf>
    <xf numFmtId="0" fontId="1" fillId="0" borderId="19" xfId="3" applyFont="1" applyFill="1" applyBorder="1" applyAlignment="1">
      <alignment horizontal="justify" vertical="top" wrapText="1"/>
    </xf>
    <xf numFmtId="0" fontId="1" fillId="0" borderId="22" xfId="3" applyFont="1" applyFill="1" applyBorder="1" applyAlignment="1">
      <alignment vertical="top" wrapText="1"/>
    </xf>
    <xf numFmtId="0" fontId="1" fillId="0" borderId="23" xfId="3" applyFont="1" applyFill="1" applyBorder="1" applyAlignment="1">
      <alignment vertical="top" wrapText="1"/>
    </xf>
    <xf numFmtId="0" fontId="1" fillId="5" borderId="22" xfId="3" applyFont="1" applyFill="1" applyBorder="1"/>
    <xf numFmtId="0" fontId="1" fillId="5" borderId="23" xfId="3" applyFont="1" applyFill="1" applyBorder="1"/>
    <xf numFmtId="0" fontId="1" fillId="6" borderId="23" xfId="3" applyFont="1" applyFill="1" applyBorder="1" applyAlignment="1">
      <alignment vertical="top" wrapText="1"/>
    </xf>
    <xf numFmtId="0" fontId="1" fillId="5" borderId="22" xfId="3" applyFont="1" applyFill="1" applyBorder="1" applyAlignment="1">
      <alignment vertical="top" wrapText="1"/>
    </xf>
    <xf numFmtId="0" fontId="1" fillId="5" borderId="23" xfId="3" applyFont="1" applyFill="1" applyBorder="1" applyAlignment="1">
      <alignment vertical="top" wrapText="1"/>
    </xf>
    <xf numFmtId="0" fontId="1" fillId="0" borderId="19" xfId="3" quotePrefix="1" applyFont="1" applyFill="1" applyBorder="1" applyAlignment="1">
      <alignment horizontal="justify" vertical="top" wrapText="1"/>
    </xf>
    <xf numFmtId="0" fontId="1" fillId="6" borderId="11" xfId="0" applyFont="1" applyFill="1" applyBorder="1"/>
    <xf numFmtId="0" fontId="1" fillId="6" borderId="0" xfId="0" applyFont="1" applyFill="1" applyBorder="1"/>
    <xf numFmtId="0" fontId="1" fillId="0" borderId="11" xfId="3" applyFont="1" applyFill="1" applyBorder="1" applyAlignment="1">
      <alignment horizontal="right" vertical="top"/>
    </xf>
    <xf numFmtId="0" fontId="1" fillId="0" borderId="23" xfId="3" applyFont="1" applyFill="1" applyBorder="1"/>
    <xf numFmtId="0" fontId="1" fillId="6" borderId="23" xfId="3" applyFont="1" applyFill="1" applyBorder="1"/>
    <xf numFmtId="0" fontId="1" fillId="0" borderId="24" xfId="3" applyFont="1" applyFill="1" applyBorder="1" applyAlignment="1">
      <alignment horizontal="left" vertical="top"/>
    </xf>
    <xf numFmtId="0" fontId="1" fillId="0" borderId="24" xfId="3" applyFont="1" applyFill="1" applyBorder="1" applyAlignment="1">
      <alignment vertical="top" wrapText="1"/>
    </xf>
    <xf numFmtId="0" fontId="1" fillId="0" borderId="25" xfId="3" applyFont="1" applyFill="1" applyBorder="1" applyAlignment="1">
      <alignment horizontal="justify" vertical="top" wrapText="1"/>
    </xf>
    <xf numFmtId="0" fontId="1" fillId="0" borderId="26" xfId="3" applyFont="1" applyFill="1" applyBorder="1" applyAlignment="1">
      <alignment vertical="top" wrapText="1"/>
    </xf>
    <xf numFmtId="0" fontId="1" fillId="0" borderId="27" xfId="3" applyFont="1" applyFill="1" applyBorder="1" applyAlignment="1">
      <alignment vertical="top" wrapText="1"/>
    </xf>
    <xf numFmtId="0" fontId="1" fillId="0" borderId="27" xfId="3" applyFont="1" applyFill="1" applyBorder="1"/>
    <xf numFmtId="0" fontId="1" fillId="0" borderId="0" xfId="3" applyFont="1" applyBorder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Fill="1" applyAlignment="1">
      <alignment horizontal="center"/>
    </xf>
    <xf numFmtId="0" fontId="1" fillId="0" borderId="0" xfId="3" applyFont="1" applyFill="1" applyBorder="1"/>
    <xf numFmtId="0" fontId="1" fillId="4" borderId="28" xfId="3" applyFont="1" applyFill="1" applyBorder="1"/>
    <xf numFmtId="0" fontId="1" fillId="4" borderId="29" xfId="3" applyFont="1" applyFill="1" applyBorder="1"/>
    <xf numFmtId="0" fontId="1" fillId="4" borderId="29" xfId="3" applyFont="1" applyFill="1" applyBorder="1" applyAlignment="1">
      <alignment horizontal="center"/>
    </xf>
    <xf numFmtId="0" fontId="1" fillId="4" borderId="30" xfId="3" applyFont="1" applyFill="1" applyBorder="1"/>
    <xf numFmtId="0" fontId="1" fillId="4" borderId="31" xfId="3" applyFont="1" applyFill="1" applyBorder="1"/>
    <xf numFmtId="0" fontId="1" fillId="4" borderId="32" xfId="3" applyFont="1" applyFill="1" applyBorder="1"/>
    <xf numFmtId="0" fontId="1" fillId="6" borderId="11" xfId="3" applyFont="1" applyFill="1" applyBorder="1" applyAlignment="1">
      <alignment horizontal="left" vertical="top"/>
    </xf>
    <xf numFmtId="0" fontId="1" fillId="6" borderId="11" xfId="3" applyFont="1" applyFill="1" applyBorder="1"/>
    <xf numFmtId="0" fontId="1" fillId="6" borderId="11" xfId="3" applyFont="1" applyFill="1" applyBorder="1" applyAlignment="1">
      <alignment vertical="top" wrapText="1"/>
    </xf>
    <xf numFmtId="0" fontId="1" fillId="6" borderId="11" xfId="3" applyFont="1" applyFill="1" applyBorder="1" applyAlignment="1">
      <alignment horizontal="center" vertical="top" wrapText="1"/>
    </xf>
    <xf numFmtId="0" fontId="1" fillId="0" borderId="11" xfId="3" applyFont="1" applyFill="1" applyBorder="1" applyAlignment="1">
      <alignment horizontal="center" vertical="top" wrapText="1"/>
    </xf>
    <xf numFmtId="0" fontId="1" fillId="6" borderId="22" xfId="3" applyFont="1" applyFill="1" applyBorder="1" applyAlignment="1">
      <alignment vertical="top" wrapText="1"/>
    </xf>
    <xf numFmtId="0" fontId="1" fillId="0" borderId="11" xfId="3" applyFont="1" applyFill="1" applyBorder="1" applyAlignment="1">
      <alignment horizontal="center" vertical="top"/>
    </xf>
    <xf numFmtId="0" fontId="1" fillId="0" borderId="24" xfId="3" applyFont="1" applyFill="1" applyBorder="1" applyAlignment="1">
      <alignment horizontal="center" vertical="top" wrapText="1"/>
    </xf>
    <xf numFmtId="0" fontId="1" fillId="0" borderId="33" xfId="3" applyFont="1" applyFill="1" applyBorder="1" applyAlignment="1">
      <alignment horizontal="center"/>
    </xf>
    <xf numFmtId="0" fontId="1" fillId="0" borderId="34" xfId="3" applyFont="1" applyBorder="1" applyAlignment="1">
      <alignment horizontal="center"/>
    </xf>
    <xf numFmtId="0" fontId="1" fillId="5" borderId="11" xfId="3" applyFont="1" applyFill="1" applyBorder="1" applyAlignment="1">
      <alignment horizontal="center" vertical="top" wrapText="1"/>
    </xf>
    <xf numFmtId="0" fontId="1" fillId="5" borderId="11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35" xfId="3" applyFont="1" applyFill="1" applyBorder="1" applyAlignment="1">
      <alignment horizontal="left" vertical="top"/>
    </xf>
    <xf numFmtId="0" fontId="1" fillId="4" borderId="36" xfId="3" applyFont="1" applyFill="1" applyBorder="1"/>
    <xf numFmtId="0" fontId="1" fillId="4" borderId="37" xfId="3" applyFont="1" applyFill="1" applyBorder="1"/>
    <xf numFmtId="38" fontId="6" fillId="0" borderId="0" xfId="2" applyFont="1" applyAlignment="1">
      <alignment horizontal="left"/>
    </xf>
    <xf numFmtId="0" fontId="6" fillId="0" borderId="0" xfId="0" applyFont="1" applyAlignment="1">
      <alignment horizontal="left"/>
    </xf>
    <xf numFmtId="0" fontId="8" fillId="0" borderId="0" xfId="1" applyAlignment="1" applyProtection="1">
      <protection locked="0"/>
    </xf>
    <xf numFmtId="0" fontId="5" fillId="0" borderId="0" xfId="3" applyFont="1" applyFill="1" applyBorder="1" applyAlignment="1">
      <alignment horizontal="left"/>
    </xf>
    <xf numFmtId="0" fontId="1" fillId="0" borderId="0" xfId="3" applyFont="1" applyFill="1" applyBorder="1" applyAlignment="1">
      <alignment vertical="top" wrapText="1"/>
    </xf>
    <xf numFmtId="0" fontId="0" fillId="7" borderId="0" xfId="0" applyFill="1"/>
    <xf numFmtId="0" fontId="0" fillId="7" borderId="0" xfId="0" applyFill="1" applyProtection="1">
      <protection locked="0"/>
    </xf>
    <xf numFmtId="0" fontId="0" fillId="0" borderId="0" xfId="0" quotePrefix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38" fontId="0" fillId="0" borderId="0" xfId="2" applyFont="1" applyFill="1" applyBorder="1" applyAlignment="1" applyProtection="1">
      <alignment horizontal="right"/>
      <protection locked="0"/>
    </xf>
    <xf numFmtId="49" fontId="0" fillId="0" borderId="0" xfId="2" applyNumberFormat="1" applyFont="1" applyFill="1" applyBorder="1" applyAlignment="1">
      <alignment horizontal="left" vertical="top"/>
    </xf>
    <xf numFmtId="43" fontId="0" fillId="0" borderId="0" xfId="2" applyNumberFormat="1" applyFont="1" applyFill="1" applyBorder="1" applyAlignment="1">
      <alignment horizontal="centerContinuous"/>
    </xf>
    <xf numFmtId="38" fontId="0" fillId="0" borderId="0" xfId="2" applyFont="1" applyFill="1" applyBorder="1" applyAlignment="1">
      <alignment horizontal="right"/>
    </xf>
    <xf numFmtId="49" fontId="0" fillId="0" borderId="0" xfId="2" applyNumberFormat="1" applyFont="1" applyFill="1" applyBorder="1" applyAlignment="1">
      <alignment vertical="top"/>
    </xf>
    <xf numFmtId="0" fontId="0" fillId="0" borderId="0" xfId="0" applyFill="1" applyBorder="1" applyAlignment="1">
      <alignment horizontal="right"/>
    </xf>
    <xf numFmtId="38" fontId="0" fillId="0" borderId="0" xfId="2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9" borderId="39" xfId="0" applyFill="1" applyBorder="1"/>
    <xf numFmtId="38" fontId="0" fillId="9" borderId="40" xfId="2" applyFont="1" applyFill="1" applyBorder="1" applyAlignment="1">
      <alignment horizontal="centerContinuous"/>
    </xf>
    <xf numFmtId="0" fontId="0" fillId="9" borderId="40" xfId="0" applyFill="1" applyBorder="1" applyAlignment="1">
      <alignment horizontal="centerContinuous"/>
    </xf>
    <xf numFmtId="0" fontId="2" fillId="9" borderId="40" xfId="0" applyFont="1" applyFill="1" applyBorder="1" applyAlignment="1">
      <alignment horizontal="centerContinuous"/>
    </xf>
    <xf numFmtId="38" fontId="0" fillId="8" borderId="43" xfId="2" applyFont="1" applyFill="1" applyBorder="1" applyAlignment="1" applyProtection="1">
      <alignment horizontal="right"/>
      <protection locked="0"/>
    </xf>
    <xf numFmtId="0" fontId="0" fillId="8" borderId="43" xfId="0" applyFill="1" applyBorder="1" applyAlignment="1" applyProtection="1">
      <alignment horizontal="right"/>
      <protection locked="0"/>
    </xf>
    <xf numFmtId="0" fontId="0" fillId="8" borderId="43" xfId="0" applyFill="1" applyBorder="1" applyProtection="1">
      <protection locked="0"/>
    </xf>
    <xf numFmtId="0" fontId="0" fillId="0" borderId="43" xfId="0" applyBorder="1" applyProtection="1">
      <protection locked="0"/>
    </xf>
    <xf numFmtId="38" fontId="0" fillId="8" borderId="46" xfId="2" applyFont="1" applyFill="1" applyBorder="1" applyAlignment="1" applyProtection="1">
      <alignment horizontal="right"/>
      <protection locked="0"/>
    </xf>
    <xf numFmtId="0" fontId="0" fillId="8" borderId="46" xfId="0" applyFill="1" applyBorder="1" applyAlignment="1" applyProtection="1">
      <alignment horizontal="right"/>
      <protection locked="0"/>
    </xf>
    <xf numFmtId="0" fontId="0" fillId="8" borderId="46" xfId="0" applyFill="1" applyBorder="1" applyProtection="1">
      <protection locked="0"/>
    </xf>
    <xf numFmtId="0" fontId="0" fillId="0" borderId="46" xfId="0" applyBorder="1" applyProtection="1">
      <protection locked="0"/>
    </xf>
    <xf numFmtId="0" fontId="0" fillId="8" borderId="45" xfId="0" applyFill="1" applyBorder="1"/>
    <xf numFmtId="38" fontId="0" fillId="8" borderId="49" xfId="2" applyFont="1" applyFill="1" applyBorder="1" applyAlignment="1" applyProtection="1">
      <alignment horizontal="right"/>
      <protection locked="0"/>
    </xf>
    <xf numFmtId="0" fontId="0" fillId="8" borderId="49" xfId="0" applyFill="1" applyBorder="1" applyAlignment="1" applyProtection="1">
      <alignment horizontal="right"/>
      <protection locked="0"/>
    </xf>
    <xf numFmtId="0" fontId="0" fillId="0" borderId="49" xfId="0" applyBorder="1" applyProtection="1">
      <protection locked="0"/>
    </xf>
    <xf numFmtId="0" fontId="0" fillId="8" borderId="48" xfId="0" applyFill="1" applyBorder="1"/>
    <xf numFmtId="0" fontId="0" fillId="8" borderId="42" xfId="0" applyFill="1" applyBorder="1"/>
    <xf numFmtId="38" fontId="0" fillId="9" borderId="50" xfId="2" applyFont="1" applyFill="1" applyBorder="1" applyAlignment="1">
      <alignment horizontal="centerContinuous"/>
    </xf>
    <xf numFmtId="43" fontId="0" fillId="9" borderId="50" xfId="2" applyNumberFormat="1" applyFont="1" applyFill="1" applyBorder="1" applyAlignment="1">
      <alignment horizontal="centerContinuous"/>
    </xf>
    <xf numFmtId="0" fontId="0" fillId="9" borderId="50" xfId="0" applyFill="1" applyBorder="1" applyAlignment="1">
      <alignment horizontal="centerContinuous"/>
    </xf>
    <xf numFmtId="38" fontId="0" fillId="8" borderId="51" xfId="2" applyFont="1" applyFill="1" applyBorder="1" applyAlignment="1">
      <alignment horizontal="right"/>
    </xf>
    <xf numFmtId="0" fontId="0" fillId="8" borderId="51" xfId="2" applyNumberFormat="1" applyFont="1" applyFill="1" applyBorder="1" applyAlignment="1">
      <alignment horizontal="right"/>
    </xf>
    <xf numFmtId="38" fontId="0" fillId="8" borderId="52" xfId="2" applyFont="1" applyFill="1" applyBorder="1" applyAlignment="1">
      <alignment horizontal="right"/>
    </xf>
    <xf numFmtId="0" fontId="0" fillId="8" borderId="52" xfId="2" applyNumberFormat="1" applyFont="1" applyFill="1" applyBorder="1" applyAlignment="1">
      <alignment horizontal="right"/>
    </xf>
    <xf numFmtId="38" fontId="0" fillId="8" borderId="53" xfId="2" applyFont="1" applyFill="1" applyBorder="1" applyAlignment="1">
      <alignment horizontal="right"/>
    </xf>
    <xf numFmtId="0" fontId="0" fillId="8" borderId="53" xfId="2" applyNumberFormat="1" applyFont="1" applyFill="1" applyBorder="1" applyAlignment="1">
      <alignment horizontal="right"/>
    </xf>
    <xf numFmtId="0" fontId="2" fillId="9" borderId="54" xfId="0" applyFont="1" applyFill="1" applyBorder="1" applyAlignment="1">
      <alignment horizontal="centerContinuous"/>
    </xf>
    <xf numFmtId="0" fontId="2" fillId="9" borderId="55" xfId="0" applyFont="1" applyFill="1" applyBorder="1" applyAlignment="1">
      <alignment horizontal="centerContinuous"/>
    </xf>
    <xf numFmtId="14" fontId="0" fillId="8" borderId="58" xfId="0" applyNumberFormat="1" applyFill="1" applyBorder="1" applyAlignment="1">
      <alignment horizontal="centerContinuous"/>
    </xf>
    <xf numFmtId="0" fontId="0" fillId="0" borderId="59" xfId="0" applyBorder="1" applyProtection="1">
      <protection locked="0"/>
    </xf>
    <xf numFmtId="0" fontId="0" fillId="8" borderId="58" xfId="0" applyFill="1" applyBorder="1" applyAlignment="1">
      <alignment horizontal="centerContinuous"/>
    </xf>
    <xf numFmtId="0" fontId="0" fillId="8" borderId="60" xfId="0" applyFill="1" applyBorder="1" applyAlignment="1">
      <alignment horizontal="centerContinuous"/>
    </xf>
    <xf numFmtId="0" fontId="0" fillId="0" borderId="61" xfId="0" applyBorder="1" applyProtection="1">
      <protection locked="0"/>
    </xf>
    <xf numFmtId="0" fontId="0" fillId="9" borderId="38" xfId="0" applyFill="1" applyBorder="1" applyAlignment="1">
      <alignment horizontal="right"/>
    </xf>
    <xf numFmtId="0" fontId="0" fillId="10" borderId="41" xfId="0" applyFill="1" applyBorder="1"/>
    <xf numFmtId="0" fontId="0" fillId="10" borderId="44" xfId="0" applyFill="1" applyBorder="1"/>
    <xf numFmtId="0" fontId="0" fillId="10" borderId="47" xfId="0" applyFill="1" applyBorder="1"/>
    <xf numFmtId="0" fontId="0" fillId="9" borderId="40" xfId="0" applyFill="1" applyBorder="1"/>
    <xf numFmtId="38" fontId="0" fillId="9" borderId="54" xfId="2" applyFont="1" applyFill="1" applyBorder="1" applyAlignment="1" applyProtection="1">
      <alignment horizontal="centerContinuous"/>
      <protection locked="0"/>
    </xf>
    <xf numFmtId="0" fontId="0" fillId="8" borderId="43" xfId="0" applyFill="1" applyBorder="1"/>
    <xf numFmtId="38" fontId="0" fillId="3" borderId="56" xfId="2" applyFont="1" applyFill="1" applyBorder="1" applyAlignment="1" applyProtection="1">
      <alignment horizontal="right"/>
      <protection locked="0"/>
    </xf>
    <xf numFmtId="0" fontId="0" fillId="8" borderId="46" xfId="0" applyFill="1" applyBorder="1"/>
    <xf numFmtId="38" fontId="0" fillId="3" borderId="58" xfId="2" applyFont="1" applyFill="1" applyBorder="1" applyAlignment="1" applyProtection="1">
      <alignment horizontal="right"/>
      <protection locked="0"/>
    </xf>
    <xf numFmtId="0" fontId="0" fillId="8" borderId="49" xfId="0" applyFill="1" applyBorder="1"/>
    <xf numFmtId="38" fontId="0" fillId="3" borderId="60" xfId="2" applyFont="1" applyFill="1" applyBorder="1" applyAlignment="1" applyProtection="1">
      <alignment horizontal="right"/>
      <protection locked="0"/>
    </xf>
    <xf numFmtId="0" fontId="0" fillId="9" borderId="55" xfId="0" applyFill="1" applyBorder="1" applyAlignment="1">
      <alignment horizontal="centerContinuous"/>
    </xf>
    <xf numFmtId="38" fontId="0" fillId="8" borderId="57" xfId="2" quotePrefix="1" applyFont="1" applyFill="1" applyBorder="1" applyAlignment="1">
      <alignment horizontal="right"/>
    </xf>
    <xf numFmtId="38" fontId="0" fillId="8" borderId="59" xfId="2" quotePrefix="1" applyFont="1" applyFill="1" applyBorder="1" applyAlignment="1">
      <alignment horizontal="right"/>
    </xf>
    <xf numFmtId="38" fontId="0" fillId="8" borderId="61" xfId="2" quotePrefix="1" applyFont="1" applyFill="1" applyBorder="1" applyAlignment="1">
      <alignment horizontal="right"/>
    </xf>
    <xf numFmtId="38" fontId="0" fillId="8" borderId="43" xfId="2" applyFont="1" applyFill="1" applyBorder="1" applyAlignment="1" applyProtection="1">
      <alignment horizontal="right"/>
    </xf>
    <xf numFmtId="38" fontId="0" fillId="8" borderId="46" xfId="2" applyFont="1" applyFill="1" applyBorder="1" applyAlignment="1" applyProtection="1">
      <alignment horizontal="right"/>
    </xf>
    <xf numFmtId="38" fontId="0" fillId="8" borderId="49" xfId="2" applyFont="1" applyFill="1" applyBorder="1" applyAlignment="1" applyProtection="1">
      <alignment horizontal="right"/>
    </xf>
    <xf numFmtId="0" fontId="0" fillId="8" borderId="49" xfId="0" applyFill="1" applyBorder="1" applyProtection="1">
      <protection locked="0"/>
    </xf>
    <xf numFmtId="0" fontId="2" fillId="9" borderId="40" xfId="0" applyFont="1" applyFill="1" applyBorder="1" applyAlignment="1">
      <alignment horizontal="center"/>
    </xf>
    <xf numFmtId="0" fontId="0" fillId="9" borderId="54" xfId="0" applyFill="1" applyBorder="1"/>
    <xf numFmtId="0" fontId="0" fillId="8" borderId="43" xfId="0" applyFill="1" applyBorder="1" applyAlignment="1" applyProtection="1">
      <alignment horizontal="center"/>
      <protection locked="0"/>
    </xf>
    <xf numFmtId="14" fontId="0" fillId="8" borderId="56" xfId="0" applyNumberFormat="1" applyFill="1" applyBorder="1"/>
    <xf numFmtId="0" fontId="0" fillId="8" borderId="46" xfId="0" applyFill="1" applyBorder="1" applyAlignment="1" applyProtection="1">
      <alignment horizontal="center"/>
      <protection locked="0"/>
    </xf>
    <xf numFmtId="14" fontId="0" fillId="8" borderId="58" xfId="0" applyNumberFormat="1" applyFill="1" applyBorder="1"/>
    <xf numFmtId="0" fontId="0" fillId="8" borderId="58" xfId="0" applyFill="1" applyBorder="1"/>
    <xf numFmtId="0" fontId="0" fillId="8" borderId="49" xfId="0" applyFill="1" applyBorder="1" applyAlignment="1" applyProtection="1">
      <alignment horizontal="center"/>
      <protection locked="0"/>
    </xf>
    <xf numFmtId="0" fontId="0" fillId="8" borderId="60" xfId="0" applyFill="1" applyBorder="1"/>
    <xf numFmtId="0" fontId="0" fillId="9" borderId="55" xfId="0" applyFill="1" applyBorder="1"/>
    <xf numFmtId="0" fontId="0" fillId="0" borderId="59" xfId="0" applyFill="1" applyBorder="1" applyProtection="1">
      <protection locked="0"/>
    </xf>
    <xf numFmtId="0" fontId="0" fillId="0" borderId="59" xfId="0" applyFill="1" applyBorder="1"/>
    <xf numFmtId="0" fontId="0" fillId="0" borderId="61" xfId="0" applyFill="1" applyBorder="1"/>
    <xf numFmtId="179" fontId="0" fillId="0" borderId="0" xfId="0" applyNumberFormat="1" applyProtection="1">
      <protection locked="0"/>
    </xf>
    <xf numFmtId="179" fontId="0" fillId="0" borderId="0" xfId="0" applyNumberFormat="1" applyAlignment="1" applyProtection="1">
      <alignment horizontal="right"/>
      <protection locked="0"/>
    </xf>
    <xf numFmtId="14" fontId="0" fillId="0" borderId="57" xfId="0" applyNumberFormat="1" applyFill="1" applyBorder="1" applyProtection="1">
      <protection locked="0"/>
    </xf>
    <xf numFmtId="14" fontId="0" fillId="0" borderId="59" xfId="0" applyNumberFormat="1" applyBorder="1" applyProtection="1">
      <protection locked="0"/>
    </xf>
    <xf numFmtId="0" fontId="0" fillId="0" borderId="12" xfId="3" applyFont="1" applyBorder="1"/>
    <xf numFmtId="0" fontId="0" fillId="0" borderId="5" xfId="3" applyFont="1" applyFill="1" applyBorder="1"/>
    <xf numFmtId="0" fontId="1" fillId="0" borderId="12" xfId="3" applyFont="1" applyBorder="1"/>
    <xf numFmtId="0" fontId="1" fillId="4" borderId="0" xfId="3" applyFont="1" applyFill="1" applyBorder="1"/>
    <xf numFmtId="0" fontId="0" fillId="5" borderId="11" xfId="3" applyFont="1" applyFill="1" applyBorder="1" applyAlignment="1">
      <alignment horizontal="left" vertical="top"/>
    </xf>
    <xf numFmtId="0" fontId="0" fillId="6" borderId="11" xfId="3" applyFont="1" applyFill="1" applyBorder="1" applyAlignment="1">
      <alignment vertical="top" wrapText="1"/>
    </xf>
    <xf numFmtId="0" fontId="0" fillId="0" borderId="11" xfId="3" applyFont="1" applyFill="1" applyBorder="1" applyAlignment="1">
      <alignment horizontal="left" vertical="top"/>
    </xf>
    <xf numFmtId="0" fontId="0" fillId="0" borderId="11" xfId="3" applyFont="1" applyFill="1" applyBorder="1" applyAlignment="1">
      <alignment vertical="top" wrapText="1"/>
    </xf>
    <xf numFmtId="0" fontId="0" fillId="6" borderId="11" xfId="3" applyFont="1" applyFill="1" applyBorder="1" applyAlignment="1">
      <alignment horizontal="left" vertical="top"/>
    </xf>
    <xf numFmtId="0" fontId="0" fillId="5" borderId="11" xfId="3" applyFont="1" applyFill="1" applyBorder="1" applyAlignment="1">
      <alignment horizontal="center" vertical="top" wrapText="1"/>
    </xf>
    <xf numFmtId="0" fontId="0" fillId="5" borderId="11" xfId="3" applyFont="1" applyFill="1" applyBorder="1" applyAlignment="1">
      <alignment horizontal="center"/>
    </xf>
    <xf numFmtId="0" fontId="0" fillId="0" borderId="11" xfId="3" applyFont="1" applyFill="1" applyBorder="1" applyAlignment="1">
      <alignment horizontal="center" vertical="top" wrapText="1"/>
    </xf>
    <xf numFmtId="14" fontId="0" fillId="0" borderId="0" xfId="0" applyNumberFormat="1" applyFill="1" applyBorder="1"/>
  </cellXfs>
  <cellStyles count="5">
    <cellStyle name="ハイパーリンク" xfId="1" builtinId="8"/>
    <cellStyle name="桁区切り" xfId="2" builtinId="6"/>
    <cellStyle name="標準" xfId="0" builtinId="0"/>
    <cellStyle name="標準_基本項目" xfId="3"/>
    <cellStyle name="標準_人給A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7726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106870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977265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068705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599247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>
          <a:off x="97726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12" name="Line 15"/>
        <xdr:cNvSpPr>
          <a:spLocks noChangeShapeType="1"/>
        </xdr:cNvSpPr>
      </xdr:nvSpPr>
      <xdr:spPr bwMode="auto">
        <a:xfrm>
          <a:off x="106870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13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7821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106965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978217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069657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6002000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>
          <a:off x="97821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12" name="Line 15"/>
        <xdr:cNvSpPr>
          <a:spLocks noChangeShapeType="1"/>
        </xdr:cNvSpPr>
      </xdr:nvSpPr>
      <xdr:spPr bwMode="auto">
        <a:xfrm>
          <a:off x="106965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13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31750</xdr:colOff>
      <xdr:row>23</xdr:row>
      <xdr:rowOff>137582</xdr:rowOff>
    </xdr:from>
    <xdr:to>
      <xdr:col>10</xdr:col>
      <xdr:colOff>899583</xdr:colOff>
      <xdr:row>82</xdr:row>
      <xdr:rowOff>47625</xdr:rowOff>
    </xdr:to>
    <xdr:sp macro="" textlink="">
      <xdr:nvSpPr>
        <xdr:cNvPr id="14" name="テキスト ボックス 13"/>
        <xdr:cNvSpPr txBox="1"/>
      </xdr:nvSpPr>
      <xdr:spPr>
        <a:xfrm>
          <a:off x="2298700" y="3404657"/>
          <a:ext cx="7535333" cy="83396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/>
            <a:t>--</a:t>
          </a:r>
          <a:r>
            <a:rPr kumimoji="1" lang="ja-JP" altLang="en-US" sz="1100"/>
            <a:t>支出</a:t>
          </a:r>
          <a:r>
            <a:rPr kumimoji="1" lang="en-US" altLang="ja-JP" sz="1100"/>
            <a:t>STR</a:t>
          </a:r>
          <a:r>
            <a:rPr kumimoji="1" lang="ja-JP" altLang="en-US" sz="1100"/>
            <a:t>テーブルを支出テーブルに変換する</a:t>
          </a:r>
        </a:p>
        <a:p>
          <a:endParaRPr kumimoji="1" lang="ja-JP" altLang="en-US" sz="1100"/>
        </a:p>
        <a:p>
          <a:r>
            <a:rPr kumimoji="1" lang="en-US" altLang="ja-JP" sz="1100"/>
            <a:t>DELETE FROM </a:t>
          </a:r>
          <a:r>
            <a:rPr kumimoji="1" lang="ja-JP" altLang="en-US" sz="1100"/>
            <a:t>支出</a:t>
          </a:r>
          <a:r>
            <a:rPr kumimoji="1" lang="en-US" altLang="ja-JP" sz="1100"/>
            <a:t>;</a:t>
          </a:r>
        </a:p>
        <a:p>
          <a:endParaRPr kumimoji="1" lang="en-US" altLang="ja-JP" sz="1100"/>
        </a:p>
        <a:p>
          <a:r>
            <a:rPr kumimoji="1" lang="en-US" altLang="ja-JP" sz="1100"/>
            <a:t>WITH </a:t>
          </a:r>
          <a:r>
            <a:rPr kumimoji="1" lang="ja-JP" altLang="en-US" sz="1100"/>
            <a:t>日付分解 </a:t>
          </a:r>
          <a:r>
            <a:rPr kumimoji="1" lang="en-US" altLang="ja-JP" sz="1100"/>
            <a:t>AS (</a:t>
          </a:r>
        </a:p>
        <a:p>
          <a:r>
            <a:rPr kumimoji="1" lang="en-US" altLang="ja-JP" sz="1100"/>
            <a:t>    SELECT</a:t>
          </a:r>
        </a:p>
        <a:p>
          <a:r>
            <a:rPr kumimoji="1" lang="en-US" altLang="ja-JP" sz="1100"/>
            <a:t>        "No." as No,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</a:t>
          </a:r>
        </a:p>
        <a:p>
          <a:r>
            <a:rPr kumimoji="1" lang="en-US" altLang="ja-JP" sz="1100"/>
            <a:t>        CAST(substr(</a:t>
          </a:r>
          <a:r>
            <a:rPr kumimoji="1" lang="ja-JP" altLang="en-US" sz="1100"/>
            <a:t>日付</a:t>
          </a:r>
          <a:r>
            <a:rPr kumimoji="1" lang="en-US" altLang="ja-JP" sz="1100"/>
            <a:t>, 1, 4) AS INTEGER) AS </a:t>
          </a:r>
          <a:r>
            <a:rPr kumimoji="1" lang="ja-JP" altLang="en-US" sz="1100"/>
            <a:t>年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CAST(substr(</a:t>
          </a:r>
          <a:r>
            <a:rPr kumimoji="1" lang="ja-JP" altLang="en-US" sz="1100"/>
            <a:t>日付</a:t>
          </a:r>
          <a:r>
            <a:rPr kumimoji="1" lang="en-US" altLang="ja-JP" sz="1100"/>
            <a:t>,6, instr(substr(</a:t>
          </a:r>
          <a:r>
            <a:rPr kumimoji="1" lang="ja-JP" altLang="en-US" sz="1100"/>
            <a:t>日付</a:t>
          </a:r>
          <a:r>
            <a:rPr kumimoji="1" lang="en-US" altLang="ja-JP" sz="1100"/>
            <a:t>, 6), '/') - 1 )  AS INTEGER) AS </a:t>
          </a:r>
          <a:r>
            <a:rPr kumimoji="1" lang="ja-JP" altLang="en-US" sz="1100"/>
            <a:t>月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CAST(substr(</a:t>
          </a:r>
          <a:r>
            <a:rPr kumimoji="1" lang="ja-JP" altLang="en-US" sz="1100"/>
            <a:t>日付</a:t>
          </a:r>
          <a:r>
            <a:rPr kumimoji="1" lang="en-US" altLang="ja-JP" sz="1100"/>
            <a:t>,instr(</a:t>
          </a:r>
          <a:r>
            <a:rPr kumimoji="1" lang="ja-JP" altLang="en-US" sz="1100"/>
            <a:t>日付</a:t>
          </a:r>
          <a:r>
            <a:rPr kumimoji="1" lang="en-US" altLang="ja-JP" sz="1100"/>
            <a:t>, '/') + 1,instr(</a:t>
          </a:r>
          <a:r>
            <a:rPr kumimoji="1" lang="ja-JP" altLang="en-US" sz="1100"/>
            <a:t>日付</a:t>
          </a:r>
          <a:r>
            <a:rPr kumimoji="1" lang="en-US" altLang="ja-JP" sz="1100"/>
            <a:t>, '(')  -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- 1 )  AS INTEGER) AS </a:t>
          </a:r>
          <a:r>
            <a:rPr kumimoji="1" lang="ja-JP" altLang="en-US" sz="1100"/>
            <a:t>日</a:t>
          </a:r>
        </a:p>
        <a:p>
          <a:r>
            <a:rPr kumimoji="1" lang="ja-JP" altLang="en-US" sz="1100"/>
            <a:t>    </a:t>
          </a:r>
          <a:r>
            <a:rPr kumimoji="1" lang="en-US" altLang="ja-JP" sz="1100"/>
            <a:t>FROM </a:t>
          </a:r>
          <a:r>
            <a:rPr kumimoji="1" lang="ja-JP" altLang="en-US" sz="1100"/>
            <a:t>支出</a:t>
          </a:r>
          <a:r>
            <a:rPr kumimoji="1" lang="en-US" altLang="ja-JP" sz="1100"/>
            <a:t>STR</a:t>
          </a:r>
        </a:p>
        <a:p>
          <a:r>
            <a:rPr kumimoji="1" lang="en-US" altLang="ja-JP" sz="1100"/>
            <a:t>),</a:t>
          </a:r>
        </a:p>
        <a:p>
          <a:r>
            <a:rPr kumimoji="1" lang="ja-JP" altLang="en-US" sz="1100"/>
            <a:t>変換後 </a:t>
          </a:r>
          <a:r>
            <a:rPr kumimoji="1" lang="en-US" altLang="ja-JP" sz="1100"/>
            <a:t>AS (</a:t>
          </a:r>
        </a:p>
        <a:p>
          <a:r>
            <a:rPr kumimoji="1" lang="en-US" altLang="ja-JP" sz="1100"/>
            <a:t>    SELECT</a:t>
          </a:r>
        </a:p>
        <a:p>
          <a:r>
            <a:rPr kumimoji="1" lang="en-US" altLang="ja-JP" sz="1100"/>
            <a:t>        No,</a:t>
          </a:r>
        </a:p>
        <a:p>
          <a:r>
            <a:rPr kumimoji="1" lang="en-US" altLang="ja-JP" sz="1100"/>
            <a:t>        printf('%04d-%02d-%02d', </a:t>
          </a:r>
          <a:r>
            <a:rPr kumimoji="1" lang="ja-JP" altLang="en-US" sz="1100"/>
            <a:t>年</a:t>
          </a:r>
          <a:r>
            <a:rPr kumimoji="1" lang="en-US" altLang="ja-JP" sz="1100"/>
            <a:t>, </a:t>
          </a:r>
          <a:r>
            <a:rPr kumimoji="1" lang="ja-JP" altLang="en-US" sz="1100"/>
            <a:t>月</a:t>
          </a:r>
          <a:r>
            <a:rPr kumimoji="1" lang="en-US" altLang="ja-JP" sz="1100"/>
            <a:t>, </a:t>
          </a:r>
          <a:r>
            <a:rPr kumimoji="1" lang="ja-JP" altLang="en-US" sz="1100"/>
            <a:t>日</a:t>
          </a:r>
          <a:r>
            <a:rPr kumimoji="1" lang="en-US" altLang="ja-JP" sz="1100"/>
            <a:t>) AS 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CASE</a:t>
          </a:r>
        </a:p>
        <a:p>
          <a:r>
            <a:rPr kumimoji="1" lang="en-US" altLang="ja-JP" sz="1100"/>
            <a:t>           WHEN TRIM(</a:t>
          </a:r>
          <a:r>
            <a:rPr kumimoji="1" lang="ja-JP" altLang="en-US" sz="1100"/>
            <a:t>数量</a:t>
          </a:r>
          <a:r>
            <a:rPr kumimoji="1" lang="en-US" altLang="ja-JP" sz="1100"/>
            <a:t>) LIKE '(%)' THEN</a:t>
          </a:r>
        </a:p>
        <a:p>
          <a:r>
            <a:rPr kumimoji="1" lang="en-US" altLang="ja-JP" sz="1100"/>
            <a:t>             -CAST(REPLACE(REPLACE(REPLACE(</a:t>
          </a:r>
          <a:r>
            <a:rPr kumimoji="1" lang="ja-JP" altLang="en-US" sz="1100"/>
            <a:t>数量</a:t>
          </a:r>
          <a:r>
            <a:rPr kumimoji="1" lang="en-US" altLang="ja-JP" sz="1100"/>
            <a:t>, ',', ''),'(',''),')','') AS NUMERIC)</a:t>
          </a:r>
        </a:p>
        <a:p>
          <a:r>
            <a:rPr kumimoji="1" lang="en-US" altLang="ja-JP" sz="1100"/>
            <a:t>           ELSE</a:t>
          </a:r>
        </a:p>
        <a:p>
          <a:r>
            <a:rPr kumimoji="1" lang="en-US" altLang="ja-JP" sz="1100"/>
            <a:t>             CAST(REPLACE(</a:t>
          </a:r>
          <a:r>
            <a:rPr kumimoji="1" lang="ja-JP" altLang="en-US" sz="1100"/>
            <a:t>数量</a:t>
          </a:r>
          <a:r>
            <a:rPr kumimoji="1" lang="en-US" altLang="ja-JP" sz="1100"/>
            <a:t>, ',', '') AS NUMERIC)</a:t>
          </a:r>
        </a:p>
        <a:p>
          <a:r>
            <a:rPr kumimoji="1" lang="en-US" altLang="ja-JP" sz="1100"/>
            <a:t>         END AS 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CASE</a:t>
          </a:r>
        </a:p>
        <a:p>
          <a:r>
            <a:rPr kumimoji="1" lang="en-US" altLang="ja-JP" sz="1100"/>
            <a:t>           WHEN TRIM(</a:t>
          </a:r>
          <a:r>
            <a:rPr kumimoji="1" lang="ja-JP" altLang="en-US" sz="1100"/>
            <a:t>金額</a:t>
          </a:r>
          <a:r>
            <a:rPr kumimoji="1" lang="en-US" altLang="ja-JP" sz="1100"/>
            <a:t>) LIKE '(%)' THEN</a:t>
          </a:r>
        </a:p>
        <a:p>
          <a:r>
            <a:rPr kumimoji="1" lang="en-US" altLang="ja-JP" sz="1100"/>
            <a:t>             -CAST(REPLACE(REPLACE(REPLACE(</a:t>
          </a:r>
          <a:r>
            <a:rPr kumimoji="1" lang="ja-JP" altLang="en-US" sz="1100"/>
            <a:t>金額</a:t>
          </a:r>
          <a:r>
            <a:rPr kumimoji="1" lang="en-US" altLang="ja-JP" sz="1100"/>
            <a:t>, ',', ''),'(',''),')','') AS NUMERIC)</a:t>
          </a:r>
        </a:p>
        <a:p>
          <a:r>
            <a:rPr kumimoji="1" lang="en-US" altLang="ja-JP" sz="1100"/>
            <a:t>           ELSE</a:t>
          </a:r>
        </a:p>
        <a:p>
          <a:r>
            <a:rPr kumimoji="1" lang="en-US" altLang="ja-JP" sz="1100"/>
            <a:t>             CAST(REPLACE(</a:t>
          </a:r>
          <a:r>
            <a:rPr kumimoji="1" lang="ja-JP" altLang="en-US" sz="1100"/>
            <a:t>金額</a:t>
          </a:r>
          <a:r>
            <a:rPr kumimoji="1" lang="en-US" altLang="ja-JP" sz="1100"/>
            <a:t>, ',', '') AS NUMERIC)</a:t>
          </a:r>
        </a:p>
        <a:p>
          <a:r>
            <a:rPr kumimoji="1" lang="en-US" altLang="ja-JP" sz="1100"/>
            <a:t>         END AS 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年 </a:t>
          </a:r>
          <a:r>
            <a:rPr kumimoji="1" lang="en-US" altLang="ja-JP" sz="1100"/>
            <a:t>AS YY,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年 * </a:t>
          </a:r>
          <a:r>
            <a:rPr kumimoji="1" lang="en-US" altLang="ja-JP" sz="1100"/>
            <a:t>100 + </a:t>
          </a:r>
          <a:r>
            <a:rPr kumimoji="1" lang="ja-JP" altLang="en-US" sz="1100"/>
            <a:t>月 </a:t>
          </a:r>
          <a:r>
            <a:rPr kumimoji="1" lang="en-US" altLang="ja-JP" sz="1100"/>
            <a:t>AS YM</a:t>
          </a:r>
        </a:p>
        <a:p>
          <a:r>
            <a:rPr kumimoji="1" lang="en-US" altLang="ja-JP" sz="1100"/>
            <a:t>    FROM </a:t>
          </a:r>
          <a:r>
            <a:rPr kumimoji="1" lang="ja-JP" altLang="en-US" sz="1100"/>
            <a:t>日付分解</a:t>
          </a:r>
        </a:p>
        <a:p>
          <a:r>
            <a:rPr kumimoji="1" lang="en-US" altLang="ja-JP" sz="1100"/>
            <a:t>)</a:t>
          </a:r>
        </a:p>
        <a:p>
          <a:r>
            <a:rPr kumimoji="1" lang="en-US" altLang="ja-JP" sz="1100"/>
            <a:t>INSERT INTO </a:t>
          </a:r>
          <a:r>
            <a:rPr kumimoji="1" lang="ja-JP" altLang="en-US" sz="1100"/>
            <a:t>支出 </a:t>
          </a:r>
          <a:r>
            <a:rPr kumimoji="1" lang="en-US" altLang="ja-JP" sz="1100"/>
            <a:t>(</a:t>
          </a:r>
        </a:p>
        <a:p>
          <a:r>
            <a:rPr kumimoji="1" lang="en-US" altLang="ja-JP" sz="1100"/>
            <a:t>    No,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,Mark,YY,YM</a:t>
          </a:r>
        </a:p>
        <a:p>
          <a:r>
            <a:rPr kumimoji="1" lang="en-US" altLang="ja-JP" sz="1100"/>
            <a:t>)</a:t>
          </a:r>
        </a:p>
        <a:p>
          <a:r>
            <a:rPr kumimoji="1" lang="en-US" altLang="ja-JP" sz="1100"/>
            <a:t>SELECT</a:t>
          </a:r>
        </a:p>
        <a:p>
          <a:r>
            <a:rPr kumimoji="1" lang="en-US" altLang="ja-JP" sz="1100"/>
            <a:t>    No,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,Mark,YY,YM</a:t>
          </a:r>
        </a:p>
        <a:p>
          <a:r>
            <a:rPr kumimoji="1" lang="en-US" altLang="ja-JP" sz="1100"/>
            <a:t>FROM </a:t>
          </a:r>
          <a:r>
            <a:rPr kumimoji="1" lang="ja-JP" altLang="en-US" sz="1100"/>
            <a:t>変換後</a:t>
          </a:r>
          <a:r>
            <a:rPr kumimoji="1" lang="en-US" altLang="ja-JP" sz="1100"/>
            <a:t>;</a:t>
          </a:r>
        </a:p>
        <a:p>
          <a:endParaRPr kumimoji="1" lang="en-US" altLang="ja-JP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51201" name="Line 1"/>
        <xdr:cNvSpPr>
          <a:spLocks noChangeShapeType="1"/>
        </xdr:cNvSpPr>
      </xdr:nvSpPr>
      <xdr:spPr bwMode="auto">
        <a:xfrm>
          <a:off x="98679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51202" name="Line 2"/>
        <xdr:cNvSpPr>
          <a:spLocks noChangeShapeType="1"/>
        </xdr:cNvSpPr>
      </xdr:nvSpPr>
      <xdr:spPr bwMode="auto">
        <a:xfrm>
          <a:off x="107823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51203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1204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51205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51206" name="Line 6"/>
        <xdr:cNvSpPr>
          <a:spLocks noChangeShapeType="1"/>
        </xdr:cNvSpPr>
      </xdr:nvSpPr>
      <xdr:spPr bwMode="auto">
        <a:xfrm>
          <a:off x="98679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51207" name="Line 7"/>
        <xdr:cNvSpPr>
          <a:spLocks noChangeShapeType="1"/>
        </xdr:cNvSpPr>
      </xdr:nvSpPr>
      <xdr:spPr bwMode="auto">
        <a:xfrm>
          <a:off x="107823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51208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51209" name="Rectangle 9"/>
        <xdr:cNvSpPr>
          <a:spLocks noChangeArrowheads="1"/>
        </xdr:cNvSpPr>
      </xdr:nvSpPr>
      <xdr:spPr bwMode="auto">
        <a:xfrm>
          <a:off x="1608772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9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51214" name="Line 14"/>
        <xdr:cNvSpPr>
          <a:spLocks noChangeShapeType="1"/>
        </xdr:cNvSpPr>
      </xdr:nvSpPr>
      <xdr:spPr bwMode="auto">
        <a:xfrm>
          <a:off x="98679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51215" name="Line 15"/>
        <xdr:cNvSpPr>
          <a:spLocks noChangeShapeType="1"/>
        </xdr:cNvSpPr>
      </xdr:nvSpPr>
      <xdr:spPr bwMode="auto">
        <a:xfrm>
          <a:off x="107823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51216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A44"/>
  <sheetViews>
    <sheetView tabSelected="1" zoomScaleNormal="100" workbookViewId="0">
      <pane xSplit="2" ySplit="4" topLeftCell="C5" activePane="bottomRight" state="frozen"/>
      <selection activeCell="K15" sqref="K15"/>
      <selection pane="topRight" activeCell="K15" sqref="K15"/>
      <selection pane="bottomLeft" activeCell="K15" sqref="K15"/>
      <selection pane="bottomRight"/>
    </sheetView>
  </sheetViews>
  <sheetFormatPr defaultRowHeight="11.25"/>
  <cols>
    <col min="1" max="1" width="4.83203125" customWidth="1"/>
    <col min="2" max="2" width="43.83203125" customWidth="1"/>
    <col min="3" max="3" width="13" customWidth="1"/>
    <col min="4" max="4" width="11.6640625" customWidth="1"/>
    <col min="5" max="6" width="9.6640625" hidden="1" customWidth="1"/>
    <col min="7" max="7" width="12.1640625" customWidth="1"/>
    <col min="8" max="8" width="8.1640625" hidden="1" customWidth="1"/>
    <col min="9" max="9" width="8" hidden="1" customWidth="1"/>
    <col min="10" max="10" width="5" hidden="1" customWidth="1"/>
    <col min="11" max="11" width="8.83203125" hidden="1" customWidth="1"/>
    <col min="12" max="13" width="8.33203125" hidden="1" customWidth="1"/>
    <col min="14" max="14" width="20.6640625" customWidth="1"/>
    <col min="15" max="16" width="13.6640625" hidden="1" customWidth="1"/>
    <col min="17" max="17" width="10.83203125" hidden="1" customWidth="1"/>
    <col min="18" max="18" width="11.83203125" customWidth="1"/>
    <col min="19" max="19" width="8.1640625" customWidth="1"/>
    <col min="20" max="20" width="8.6640625" style="84" hidden="1" customWidth="1"/>
    <col min="21" max="21" width="10.6640625" customWidth="1"/>
    <col min="22" max="22" width="8.1640625" customWidth="1"/>
    <col min="23" max="23" width="17" customWidth="1"/>
    <col min="24" max="24" width="2" customWidth="1"/>
    <col min="25" max="25" width="11.83203125" hidden="1" customWidth="1"/>
    <col min="26" max="26" width="12.6640625" hidden="1" customWidth="1"/>
    <col min="27" max="27" width="11.33203125" hidden="1" customWidth="1"/>
  </cols>
  <sheetData>
    <row r="2" spans="1:27" s="97" customFormat="1" ht="15" customHeight="1">
      <c r="B2" s="96" t="s">
        <v>122</v>
      </c>
      <c r="C2" s="98"/>
      <c r="D2" s="99"/>
      <c r="E2" s="100"/>
      <c r="F2" s="100"/>
      <c r="G2" s="96"/>
      <c r="H2" s="101"/>
      <c r="I2" s="101"/>
      <c r="J2" s="102"/>
      <c r="K2" s="189">
        <v>46291</v>
      </c>
      <c r="L2" s="103"/>
      <c r="N2" s="104"/>
      <c r="T2" s="105"/>
      <c r="W2" s="97" t="s">
        <v>121</v>
      </c>
    </row>
    <row r="3" spans="1:27" ht="12" thickBot="1">
      <c r="C3" s="1"/>
      <c r="D3" s="2"/>
      <c r="E3" s="4"/>
      <c r="F3" s="3"/>
      <c r="G3" s="3"/>
      <c r="H3" s="88"/>
      <c r="I3" s="2"/>
      <c r="J3" s="89"/>
      <c r="K3" s="3"/>
      <c r="L3" s="3"/>
      <c r="M3" s="3"/>
      <c r="N3" s="2"/>
    </row>
    <row r="4" spans="1:27" ht="12" thickBot="1">
      <c r="A4" s="140" t="s">
        <v>123</v>
      </c>
      <c r="B4" s="144" t="s">
        <v>61</v>
      </c>
      <c r="C4" s="145" t="s">
        <v>0</v>
      </c>
      <c r="D4" s="124" t="s">
        <v>1</v>
      </c>
      <c r="E4" s="125" t="s">
        <v>2</v>
      </c>
      <c r="F4" s="126" t="s">
        <v>3</v>
      </c>
      <c r="G4" s="152" t="s">
        <v>4</v>
      </c>
      <c r="H4" s="107" t="s">
        <v>5</v>
      </c>
      <c r="I4" s="107" t="s">
        <v>6</v>
      </c>
      <c r="J4" s="108" t="s">
        <v>7</v>
      </c>
      <c r="K4" s="108" t="s">
        <v>8</v>
      </c>
      <c r="L4" s="108" t="s">
        <v>9</v>
      </c>
      <c r="M4" s="108" t="s">
        <v>10</v>
      </c>
      <c r="N4" s="107" t="s">
        <v>11</v>
      </c>
      <c r="O4" s="109" t="s">
        <v>12</v>
      </c>
      <c r="P4" s="109" t="s">
        <v>13</v>
      </c>
      <c r="Q4" s="109" t="s">
        <v>14</v>
      </c>
      <c r="R4" s="133" t="s">
        <v>15</v>
      </c>
      <c r="S4" s="134" t="s">
        <v>16</v>
      </c>
      <c r="T4" s="160" t="s">
        <v>17</v>
      </c>
      <c r="U4" s="161" t="s">
        <v>33</v>
      </c>
      <c r="V4" s="169" t="s">
        <v>34</v>
      </c>
      <c r="W4" s="106" t="s">
        <v>63</v>
      </c>
      <c r="Y4" s="12" t="s">
        <v>18</v>
      </c>
      <c r="Z4" s="5" t="s">
        <v>19</v>
      </c>
      <c r="AA4" s="6" t="s">
        <v>20</v>
      </c>
    </row>
    <row r="5" spans="1:27">
      <c r="A5" s="141">
        <v>1</v>
      </c>
      <c r="B5" s="146" t="s">
        <v>121</v>
      </c>
      <c r="C5" s="147">
        <v>100000</v>
      </c>
      <c r="D5" s="127">
        <v>746</v>
      </c>
      <c r="E5" s="128"/>
      <c r="F5" s="127"/>
      <c r="G5" s="153">
        <v>73046.875</v>
      </c>
      <c r="H5" s="110"/>
      <c r="I5" s="110"/>
      <c r="J5" s="111"/>
      <c r="K5" s="111"/>
      <c r="L5" s="111"/>
      <c r="M5" s="111"/>
      <c r="N5" s="156">
        <v>146093.75</v>
      </c>
      <c r="O5" s="112"/>
      <c r="P5" s="112"/>
      <c r="Q5" s="113"/>
      <c r="R5" s="163"/>
      <c r="S5" s="175" t="s">
        <v>178</v>
      </c>
      <c r="T5" s="162"/>
      <c r="U5" s="163"/>
      <c r="V5" s="175" t="s">
        <v>178</v>
      </c>
      <c r="W5" s="123" t="s">
        <v>121</v>
      </c>
      <c r="Y5" s="9"/>
      <c r="Z5" s="7"/>
      <c r="AA5" s="13"/>
    </row>
    <row r="6" spans="1:27">
      <c r="A6" s="142">
        <v>2</v>
      </c>
      <c r="B6" s="148" t="s">
        <v>176</v>
      </c>
      <c r="C6" s="149">
        <v>100000</v>
      </c>
      <c r="D6" s="129">
        <v>858</v>
      </c>
      <c r="E6" s="130"/>
      <c r="F6" s="129"/>
      <c r="G6" s="154">
        <v>83984.375</v>
      </c>
      <c r="H6" s="114"/>
      <c r="I6" s="114"/>
      <c r="J6" s="115"/>
      <c r="K6" s="115"/>
      <c r="L6" s="115"/>
      <c r="M6" s="115"/>
      <c r="N6" s="157">
        <v>167968.75</v>
      </c>
      <c r="O6" s="116"/>
      <c r="P6" s="116"/>
      <c r="Q6" s="117"/>
      <c r="R6" s="135">
        <v>46292</v>
      </c>
      <c r="S6" s="176" t="s">
        <v>177</v>
      </c>
      <c r="T6" s="164"/>
      <c r="U6" s="165">
        <v>46293</v>
      </c>
      <c r="V6" s="170" t="s">
        <v>177</v>
      </c>
      <c r="W6" s="118" t="s">
        <v>176</v>
      </c>
      <c r="Y6" s="9"/>
      <c r="Z6" s="8"/>
      <c r="AA6" s="13"/>
    </row>
    <row r="7" spans="1:27">
      <c r="A7" s="142">
        <v>3</v>
      </c>
      <c r="B7" s="148"/>
      <c r="C7" s="149"/>
      <c r="D7" s="129"/>
      <c r="E7" s="130"/>
      <c r="F7" s="129"/>
      <c r="G7" s="154"/>
      <c r="H7" s="114"/>
      <c r="I7" s="114"/>
      <c r="J7" s="115"/>
      <c r="K7" s="115"/>
      <c r="L7" s="115"/>
      <c r="M7" s="115"/>
      <c r="N7" s="157"/>
      <c r="O7" s="116"/>
      <c r="P7" s="116"/>
      <c r="Q7" s="117"/>
      <c r="R7" s="135"/>
      <c r="S7" s="136"/>
      <c r="T7" s="164"/>
      <c r="U7" s="165"/>
      <c r="V7" s="170"/>
      <c r="W7" s="118"/>
      <c r="Y7" s="9"/>
      <c r="Z7" s="8"/>
      <c r="AA7" s="13"/>
    </row>
    <row r="8" spans="1:27">
      <c r="A8" s="142">
        <v>4</v>
      </c>
      <c r="B8" s="148"/>
      <c r="C8" s="149"/>
      <c r="D8" s="129"/>
      <c r="E8" s="130"/>
      <c r="F8" s="129"/>
      <c r="G8" s="154"/>
      <c r="H8" s="114"/>
      <c r="I8" s="114"/>
      <c r="J8" s="115"/>
      <c r="K8" s="115"/>
      <c r="L8" s="115"/>
      <c r="M8" s="115"/>
      <c r="N8" s="157"/>
      <c r="O8" s="116"/>
      <c r="P8" s="116"/>
      <c r="Q8" s="117"/>
      <c r="R8" s="135"/>
      <c r="S8" s="136"/>
      <c r="T8" s="164"/>
      <c r="U8" s="165"/>
      <c r="V8" s="170"/>
      <c r="W8" s="118"/>
      <c r="Y8" s="9"/>
      <c r="Z8" s="8"/>
      <c r="AA8" s="13"/>
    </row>
    <row r="9" spans="1:27">
      <c r="A9" s="142">
        <v>5</v>
      </c>
      <c r="B9" s="148"/>
      <c r="C9" s="149"/>
      <c r="D9" s="129"/>
      <c r="E9" s="130"/>
      <c r="F9" s="129"/>
      <c r="G9" s="154"/>
      <c r="H9" s="114"/>
      <c r="I9" s="114"/>
      <c r="J9" s="115"/>
      <c r="K9" s="115"/>
      <c r="L9" s="115"/>
      <c r="M9" s="115"/>
      <c r="N9" s="157"/>
      <c r="O9" s="116"/>
      <c r="P9" s="116"/>
      <c r="Q9" s="117"/>
      <c r="R9" s="135"/>
      <c r="S9" s="136"/>
      <c r="T9" s="164"/>
      <c r="U9" s="165"/>
      <c r="V9" s="170"/>
      <c r="W9" s="118"/>
      <c r="Y9" s="9"/>
      <c r="Z9" s="8"/>
      <c r="AA9" s="13"/>
    </row>
    <row r="10" spans="1:27">
      <c r="A10" s="142">
        <v>6</v>
      </c>
      <c r="B10" s="148"/>
      <c r="C10" s="149"/>
      <c r="D10" s="129"/>
      <c r="E10" s="130"/>
      <c r="F10" s="129"/>
      <c r="G10" s="154"/>
      <c r="H10" s="114"/>
      <c r="I10" s="114"/>
      <c r="J10" s="115"/>
      <c r="K10" s="115"/>
      <c r="L10" s="115"/>
      <c r="M10" s="115"/>
      <c r="N10" s="157"/>
      <c r="O10" s="116"/>
      <c r="P10" s="116"/>
      <c r="Q10" s="117"/>
      <c r="R10" s="135"/>
      <c r="S10" s="136"/>
      <c r="T10" s="164"/>
      <c r="U10" s="165"/>
      <c r="V10" s="170"/>
      <c r="W10" s="118"/>
      <c r="Y10" s="9"/>
      <c r="Z10" s="8"/>
      <c r="AA10" s="13"/>
    </row>
    <row r="11" spans="1:27">
      <c r="A11" s="142">
        <v>7</v>
      </c>
      <c r="B11" s="148"/>
      <c r="C11" s="149"/>
      <c r="D11" s="129"/>
      <c r="E11" s="130"/>
      <c r="F11" s="129"/>
      <c r="G11" s="154"/>
      <c r="H11" s="114"/>
      <c r="I11" s="114"/>
      <c r="J11" s="115"/>
      <c r="K11" s="115"/>
      <c r="L11" s="115"/>
      <c r="M11" s="115"/>
      <c r="N11" s="157"/>
      <c r="O11" s="116"/>
      <c r="P11" s="116"/>
      <c r="Q11" s="117"/>
      <c r="R11" s="135"/>
      <c r="S11" s="136"/>
      <c r="T11" s="164"/>
      <c r="U11" s="165"/>
      <c r="V11" s="170"/>
      <c r="W11" s="118"/>
      <c r="Y11" s="9"/>
      <c r="Z11" s="8"/>
      <c r="AA11" s="13"/>
    </row>
    <row r="12" spans="1:27">
      <c r="A12" s="142">
        <v>8</v>
      </c>
      <c r="B12" s="148"/>
      <c r="C12" s="149"/>
      <c r="D12" s="129"/>
      <c r="E12" s="130"/>
      <c r="F12" s="129"/>
      <c r="G12" s="154"/>
      <c r="H12" s="114"/>
      <c r="I12" s="114"/>
      <c r="J12" s="115"/>
      <c r="K12" s="115"/>
      <c r="L12" s="115"/>
      <c r="M12" s="115"/>
      <c r="N12" s="157"/>
      <c r="O12" s="116"/>
      <c r="P12" s="116"/>
      <c r="Q12" s="117"/>
      <c r="R12" s="135"/>
      <c r="S12" s="136"/>
      <c r="T12" s="164"/>
      <c r="U12" s="165"/>
      <c r="V12" s="170"/>
      <c r="W12" s="118"/>
      <c r="Y12" s="9"/>
      <c r="Z12" s="8"/>
      <c r="AA12" s="13"/>
    </row>
    <row r="13" spans="1:27">
      <c r="A13" s="142">
        <v>9</v>
      </c>
      <c r="B13" s="148"/>
      <c r="C13" s="149"/>
      <c r="D13" s="129"/>
      <c r="E13" s="130"/>
      <c r="F13" s="129"/>
      <c r="G13" s="154"/>
      <c r="H13" s="114"/>
      <c r="I13" s="114"/>
      <c r="J13" s="115"/>
      <c r="K13" s="115"/>
      <c r="L13" s="115"/>
      <c r="M13" s="115"/>
      <c r="N13" s="157"/>
      <c r="O13" s="116"/>
      <c r="P13" s="116"/>
      <c r="Q13" s="117"/>
      <c r="R13" s="135"/>
      <c r="S13" s="136"/>
      <c r="T13" s="164"/>
      <c r="U13" s="165"/>
      <c r="V13" s="170"/>
      <c r="W13" s="118"/>
      <c r="Y13" s="9"/>
      <c r="Z13" s="8"/>
      <c r="AA13" s="13"/>
    </row>
    <row r="14" spans="1:27">
      <c r="A14" s="142">
        <v>10</v>
      </c>
      <c r="B14" s="148"/>
      <c r="C14" s="149"/>
      <c r="D14" s="129"/>
      <c r="E14" s="130"/>
      <c r="F14" s="129"/>
      <c r="G14" s="154"/>
      <c r="H14" s="114"/>
      <c r="I14" s="114"/>
      <c r="J14" s="115"/>
      <c r="K14" s="115"/>
      <c r="L14" s="115"/>
      <c r="M14" s="115"/>
      <c r="N14" s="157"/>
      <c r="O14" s="116"/>
      <c r="P14" s="116"/>
      <c r="Q14" s="117"/>
      <c r="R14" s="135"/>
      <c r="S14" s="136"/>
      <c r="T14" s="164"/>
      <c r="U14" s="165"/>
      <c r="V14" s="170"/>
      <c r="W14" s="118"/>
      <c r="Y14" s="9"/>
      <c r="Z14" s="8"/>
      <c r="AA14" s="13"/>
    </row>
    <row r="15" spans="1:27">
      <c r="A15" s="142">
        <v>11</v>
      </c>
      <c r="B15" s="148"/>
      <c r="C15" s="149"/>
      <c r="D15" s="129"/>
      <c r="E15" s="130"/>
      <c r="F15" s="129"/>
      <c r="G15" s="154"/>
      <c r="H15" s="114"/>
      <c r="I15" s="114"/>
      <c r="J15" s="115"/>
      <c r="K15" s="115"/>
      <c r="L15" s="115"/>
      <c r="M15" s="115"/>
      <c r="N15" s="157"/>
      <c r="O15" s="116"/>
      <c r="P15" s="116"/>
      <c r="Q15" s="117"/>
      <c r="R15" s="135"/>
      <c r="S15" s="136"/>
      <c r="T15" s="164"/>
      <c r="U15" s="165"/>
      <c r="V15" s="170"/>
      <c r="W15" s="118"/>
      <c r="Y15" s="9"/>
      <c r="Z15" s="8"/>
      <c r="AA15" s="13"/>
    </row>
    <row r="16" spans="1:27">
      <c r="A16" s="142">
        <v>12</v>
      </c>
      <c r="B16" s="148"/>
      <c r="C16" s="149"/>
      <c r="D16" s="129"/>
      <c r="E16" s="130"/>
      <c r="F16" s="129"/>
      <c r="G16" s="154"/>
      <c r="H16" s="114"/>
      <c r="I16" s="114"/>
      <c r="J16" s="115"/>
      <c r="K16" s="115"/>
      <c r="L16" s="115"/>
      <c r="M16" s="115"/>
      <c r="N16" s="157"/>
      <c r="O16" s="116"/>
      <c r="P16" s="116"/>
      <c r="Q16" s="117"/>
      <c r="R16" s="135"/>
      <c r="S16" s="136"/>
      <c r="T16" s="164"/>
      <c r="U16" s="165"/>
      <c r="V16" s="170"/>
      <c r="W16" s="118"/>
      <c r="Y16" s="9"/>
      <c r="Z16" s="8"/>
      <c r="AA16" s="13"/>
    </row>
    <row r="17" spans="1:27">
      <c r="A17" s="142">
        <v>13</v>
      </c>
      <c r="B17" s="148"/>
      <c r="C17" s="149"/>
      <c r="D17" s="129"/>
      <c r="E17" s="130"/>
      <c r="F17" s="129"/>
      <c r="G17" s="154"/>
      <c r="H17" s="114"/>
      <c r="I17" s="114"/>
      <c r="J17" s="115"/>
      <c r="K17" s="115"/>
      <c r="L17" s="115"/>
      <c r="M17" s="115"/>
      <c r="N17" s="157"/>
      <c r="O17" s="116"/>
      <c r="P17" s="116"/>
      <c r="Q17" s="117"/>
      <c r="R17" s="135"/>
      <c r="S17" s="136"/>
      <c r="T17" s="164"/>
      <c r="U17" s="165"/>
      <c r="V17" s="170"/>
      <c r="W17" s="118"/>
      <c r="Y17" s="9"/>
      <c r="Z17" s="8"/>
      <c r="AA17" s="13"/>
    </row>
    <row r="18" spans="1:27">
      <c r="A18" s="142">
        <v>14</v>
      </c>
      <c r="B18" s="148"/>
      <c r="C18" s="149"/>
      <c r="D18" s="129"/>
      <c r="E18" s="130"/>
      <c r="F18" s="129"/>
      <c r="G18" s="154"/>
      <c r="H18" s="114"/>
      <c r="I18" s="114"/>
      <c r="J18" s="115"/>
      <c r="K18" s="115"/>
      <c r="L18" s="115"/>
      <c r="M18" s="115"/>
      <c r="N18" s="157"/>
      <c r="O18" s="116"/>
      <c r="P18" s="116"/>
      <c r="Q18" s="117"/>
      <c r="R18" s="135"/>
      <c r="S18" s="136"/>
      <c r="T18" s="164"/>
      <c r="U18" s="165"/>
      <c r="V18" s="170"/>
      <c r="W18" s="118"/>
      <c r="Y18" s="9"/>
      <c r="Z18" s="8"/>
      <c r="AA18" s="13"/>
    </row>
    <row r="19" spans="1:27">
      <c r="A19" s="142">
        <v>15</v>
      </c>
      <c r="B19" s="148"/>
      <c r="C19" s="149"/>
      <c r="D19" s="129"/>
      <c r="E19" s="130"/>
      <c r="F19" s="129"/>
      <c r="G19" s="154"/>
      <c r="H19" s="114"/>
      <c r="I19" s="114"/>
      <c r="J19" s="115"/>
      <c r="K19" s="115"/>
      <c r="L19" s="115"/>
      <c r="M19" s="115"/>
      <c r="N19" s="157"/>
      <c r="O19" s="116"/>
      <c r="P19" s="116"/>
      <c r="Q19" s="117"/>
      <c r="R19" s="135"/>
      <c r="S19" s="136"/>
      <c r="T19" s="164"/>
      <c r="U19" s="165"/>
      <c r="V19" s="170"/>
      <c r="W19" s="118"/>
      <c r="Y19" s="9"/>
      <c r="Z19" s="8"/>
      <c r="AA19" s="13"/>
    </row>
    <row r="20" spans="1:27">
      <c r="A20" s="142">
        <v>16</v>
      </c>
      <c r="B20" s="148"/>
      <c r="C20" s="149"/>
      <c r="D20" s="129"/>
      <c r="E20" s="130"/>
      <c r="F20" s="129"/>
      <c r="G20" s="154"/>
      <c r="H20" s="114"/>
      <c r="I20" s="114"/>
      <c r="J20" s="115"/>
      <c r="K20" s="115"/>
      <c r="L20" s="115"/>
      <c r="M20" s="115"/>
      <c r="N20" s="157"/>
      <c r="O20" s="116"/>
      <c r="P20" s="116"/>
      <c r="Q20" s="117"/>
      <c r="R20" s="135"/>
      <c r="S20" s="136"/>
      <c r="T20" s="164"/>
      <c r="U20" s="165"/>
      <c r="V20" s="170"/>
      <c r="W20" s="118"/>
      <c r="Y20" s="9"/>
      <c r="Z20" s="8"/>
      <c r="AA20" s="13"/>
    </row>
    <row r="21" spans="1:27">
      <c r="A21" s="142">
        <v>17</v>
      </c>
      <c r="B21" s="148"/>
      <c r="C21" s="149"/>
      <c r="D21" s="129"/>
      <c r="E21" s="130"/>
      <c r="F21" s="129"/>
      <c r="G21" s="154"/>
      <c r="H21" s="114"/>
      <c r="I21" s="114"/>
      <c r="J21" s="115"/>
      <c r="K21" s="115"/>
      <c r="L21" s="115"/>
      <c r="M21" s="115"/>
      <c r="N21" s="157"/>
      <c r="O21" s="116"/>
      <c r="P21" s="116"/>
      <c r="Q21" s="117"/>
      <c r="R21" s="135"/>
      <c r="S21" s="136"/>
      <c r="T21" s="164"/>
      <c r="U21" s="165"/>
      <c r="V21" s="170"/>
      <c r="W21" s="118"/>
      <c r="Y21" s="9"/>
      <c r="Z21" s="8"/>
      <c r="AA21" s="13"/>
    </row>
    <row r="22" spans="1:27">
      <c r="A22" s="142">
        <v>18</v>
      </c>
      <c r="B22" s="148"/>
      <c r="C22" s="149"/>
      <c r="D22" s="129"/>
      <c r="E22" s="130"/>
      <c r="F22" s="129"/>
      <c r="G22" s="154"/>
      <c r="H22" s="114"/>
      <c r="I22" s="114"/>
      <c r="J22" s="115"/>
      <c r="K22" s="115"/>
      <c r="L22" s="115"/>
      <c r="M22" s="115"/>
      <c r="N22" s="157"/>
      <c r="O22" s="116"/>
      <c r="P22" s="116"/>
      <c r="Q22" s="117"/>
      <c r="R22" s="135"/>
      <c r="S22" s="136"/>
      <c r="T22" s="164"/>
      <c r="U22" s="165"/>
      <c r="V22" s="170"/>
      <c r="W22" s="118"/>
      <c r="Y22" s="9"/>
      <c r="Z22" s="8"/>
      <c r="AA22" s="13"/>
    </row>
    <row r="23" spans="1:27">
      <c r="A23" s="142">
        <v>19</v>
      </c>
      <c r="B23" s="148"/>
      <c r="C23" s="149"/>
      <c r="D23" s="129"/>
      <c r="E23" s="130"/>
      <c r="F23" s="129"/>
      <c r="G23" s="154"/>
      <c r="H23" s="114"/>
      <c r="I23" s="114"/>
      <c r="J23" s="115"/>
      <c r="K23" s="115"/>
      <c r="L23" s="115"/>
      <c r="M23" s="115"/>
      <c r="N23" s="157"/>
      <c r="O23" s="116"/>
      <c r="P23" s="116"/>
      <c r="Q23" s="117"/>
      <c r="R23" s="135"/>
      <c r="S23" s="136"/>
      <c r="T23" s="164"/>
      <c r="U23" s="165"/>
      <c r="V23" s="170"/>
      <c r="W23" s="118"/>
      <c r="Y23" s="9"/>
      <c r="Z23" s="8"/>
      <c r="AA23" s="13"/>
    </row>
    <row r="24" spans="1:27" ht="12" thickBot="1">
      <c r="A24" s="142">
        <v>20</v>
      </c>
      <c r="B24" s="148"/>
      <c r="C24" s="149"/>
      <c r="D24" s="129"/>
      <c r="E24" s="130"/>
      <c r="F24" s="129"/>
      <c r="G24" s="154"/>
      <c r="H24" s="114"/>
      <c r="I24" s="114"/>
      <c r="J24" s="115"/>
      <c r="K24" s="115"/>
      <c r="L24" s="115"/>
      <c r="M24" s="115"/>
      <c r="N24" s="157"/>
      <c r="O24" s="116"/>
      <c r="P24" s="116"/>
      <c r="Q24" s="117"/>
      <c r="R24" s="135"/>
      <c r="S24" s="136"/>
      <c r="T24" s="164"/>
      <c r="U24" s="166"/>
      <c r="V24" s="170"/>
      <c r="W24" s="118"/>
      <c r="Y24" s="10"/>
      <c r="Z24" s="11"/>
      <c r="AA24" s="14"/>
    </row>
    <row r="25" spans="1:27">
      <c r="A25" s="142">
        <v>21</v>
      </c>
      <c r="B25" s="148"/>
      <c r="C25" s="149"/>
      <c r="D25" s="129"/>
      <c r="E25" s="130"/>
      <c r="F25" s="129"/>
      <c r="G25" s="154"/>
      <c r="H25" s="114"/>
      <c r="I25" s="114"/>
      <c r="J25" s="115"/>
      <c r="K25" s="115"/>
      <c r="L25" s="115"/>
      <c r="M25" s="115"/>
      <c r="N25" s="157"/>
      <c r="O25" s="116"/>
      <c r="P25" s="116"/>
      <c r="Q25" s="117"/>
      <c r="R25" s="135"/>
      <c r="S25" s="136"/>
      <c r="T25" s="164"/>
      <c r="U25" s="166"/>
      <c r="V25" s="171"/>
      <c r="W25" s="118"/>
    </row>
    <row r="26" spans="1:27">
      <c r="A26" s="142">
        <v>22</v>
      </c>
      <c r="B26" s="148"/>
      <c r="C26" s="149"/>
      <c r="D26" s="129"/>
      <c r="E26" s="130"/>
      <c r="F26" s="129"/>
      <c r="G26" s="154"/>
      <c r="H26" s="114"/>
      <c r="I26" s="114"/>
      <c r="J26" s="115"/>
      <c r="K26" s="115"/>
      <c r="L26" s="115"/>
      <c r="M26" s="115"/>
      <c r="N26" s="157"/>
      <c r="O26" s="116"/>
      <c r="P26" s="116"/>
      <c r="Q26" s="117"/>
      <c r="R26" s="135"/>
      <c r="S26" s="136"/>
      <c r="T26" s="164"/>
      <c r="U26" s="166"/>
      <c r="V26" s="171"/>
      <c r="W26" s="118"/>
    </row>
    <row r="27" spans="1:27">
      <c r="A27" s="142">
        <v>23</v>
      </c>
      <c r="B27" s="148"/>
      <c r="C27" s="149"/>
      <c r="D27" s="129"/>
      <c r="E27" s="130"/>
      <c r="F27" s="129"/>
      <c r="G27" s="154"/>
      <c r="H27" s="114"/>
      <c r="I27" s="114"/>
      <c r="J27" s="115"/>
      <c r="K27" s="115"/>
      <c r="L27" s="115"/>
      <c r="M27" s="115"/>
      <c r="N27" s="157"/>
      <c r="O27" s="116"/>
      <c r="P27" s="116"/>
      <c r="Q27" s="117"/>
      <c r="R27" s="137"/>
      <c r="S27" s="136"/>
      <c r="T27" s="164"/>
      <c r="U27" s="166"/>
      <c r="V27" s="171"/>
      <c r="W27" s="118"/>
    </row>
    <row r="28" spans="1:27">
      <c r="A28" s="142">
        <v>24</v>
      </c>
      <c r="B28" s="148"/>
      <c r="C28" s="149"/>
      <c r="D28" s="129"/>
      <c r="E28" s="130"/>
      <c r="F28" s="129"/>
      <c r="G28" s="154"/>
      <c r="H28" s="114"/>
      <c r="I28" s="114"/>
      <c r="J28" s="115"/>
      <c r="K28" s="115"/>
      <c r="L28" s="115"/>
      <c r="M28" s="115"/>
      <c r="N28" s="157"/>
      <c r="O28" s="116"/>
      <c r="P28" s="116"/>
      <c r="Q28" s="117"/>
      <c r="R28" s="137"/>
      <c r="S28" s="136"/>
      <c r="T28" s="164"/>
      <c r="U28" s="166"/>
      <c r="V28" s="171"/>
      <c r="W28" s="118"/>
    </row>
    <row r="29" spans="1:27">
      <c r="A29" s="142">
        <v>25</v>
      </c>
      <c r="B29" s="148"/>
      <c r="C29" s="149"/>
      <c r="D29" s="129"/>
      <c r="E29" s="130"/>
      <c r="F29" s="129"/>
      <c r="G29" s="154"/>
      <c r="H29" s="114"/>
      <c r="I29" s="114"/>
      <c r="J29" s="115"/>
      <c r="K29" s="115"/>
      <c r="L29" s="115"/>
      <c r="M29" s="115"/>
      <c r="N29" s="157"/>
      <c r="O29" s="116"/>
      <c r="P29" s="116"/>
      <c r="Q29" s="117"/>
      <c r="R29" s="137"/>
      <c r="S29" s="136"/>
      <c r="T29" s="164"/>
      <c r="U29" s="166"/>
      <c r="V29" s="171"/>
      <c r="W29" s="118"/>
    </row>
    <row r="30" spans="1:27">
      <c r="A30" s="142">
        <v>26</v>
      </c>
      <c r="B30" s="148"/>
      <c r="C30" s="149"/>
      <c r="D30" s="129"/>
      <c r="E30" s="130"/>
      <c r="F30" s="129"/>
      <c r="G30" s="154"/>
      <c r="H30" s="114"/>
      <c r="I30" s="114"/>
      <c r="J30" s="115"/>
      <c r="K30" s="115"/>
      <c r="L30" s="115"/>
      <c r="M30" s="115"/>
      <c r="N30" s="157"/>
      <c r="O30" s="116"/>
      <c r="P30" s="116"/>
      <c r="Q30" s="117"/>
      <c r="R30" s="137"/>
      <c r="S30" s="136"/>
      <c r="T30" s="164"/>
      <c r="U30" s="166"/>
      <c r="V30" s="171"/>
      <c r="W30" s="118"/>
    </row>
    <row r="31" spans="1:27">
      <c r="A31" s="142">
        <v>27</v>
      </c>
      <c r="B31" s="148"/>
      <c r="C31" s="149"/>
      <c r="D31" s="129"/>
      <c r="E31" s="130"/>
      <c r="F31" s="129"/>
      <c r="G31" s="154"/>
      <c r="H31" s="114"/>
      <c r="I31" s="114"/>
      <c r="J31" s="115"/>
      <c r="K31" s="115"/>
      <c r="L31" s="115"/>
      <c r="M31" s="115"/>
      <c r="N31" s="157"/>
      <c r="O31" s="116"/>
      <c r="P31" s="116"/>
      <c r="Q31" s="117"/>
      <c r="R31" s="137"/>
      <c r="S31" s="136"/>
      <c r="T31" s="164"/>
      <c r="U31" s="166"/>
      <c r="V31" s="171"/>
      <c r="W31" s="118"/>
    </row>
    <row r="32" spans="1:27">
      <c r="A32" s="142">
        <v>28</v>
      </c>
      <c r="B32" s="148"/>
      <c r="C32" s="149"/>
      <c r="D32" s="129"/>
      <c r="E32" s="130"/>
      <c r="F32" s="129"/>
      <c r="G32" s="154"/>
      <c r="H32" s="114"/>
      <c r="I32" s="114"/>
      <c r="J32" s="115"/>
      <c r="K32" s="115"/>
      <c r="L32" s="115"/>
      <c r="M32" s="115"/>
      <c r="N32" s="157"/>
      <c r="O32" s="116"/>
      <c r="P32" s="116"/>
      <c r="Q32" s="117"/>
      <c r="R32" s="137"/>
      <c r="S32" s="136"/>
      <c r="T32" s="164"/>
      <c r="U32" s="166"/>
      <c r="V32" s="171"/>
      <c r="W32" s="118"/>
    </row>
    <row r="33" spans="1:23">
      <c r="A33" s="142">
        <v>29</v>
      </c>
      <c r="B33" s="148"/>
      <c r="C33" s="149"/>
      <c r="D33" s="129"/>
      <c r="E33" s="130"/>
      <c r="F33" s="129"/>
      <c r="G33" s="154"/>
      <c r="H33" s="114"/>
      <c r="I33" s="114"/>
      <c r="J33" s="115"/>
      <c r="K33" s="115"/>
      <c r="L33" s="115"/>
      <c r="M33" s="115"/>
      <c r="N33" s="157"/>
      <c r="O33" s="116"/>
      <c r="P33" s="116"/>
      <c r="Q33" s="117"/>
      <c r="R33" s="137"/>
      <c r="S33" s="136"/>
      <c r="T33" s="164"/>
      <c r="U33" s="166"/>
      <c r="V33" s="171"/>
      <c r="W33" s="118"/>
    </row>
    <row r="34" spans="1:23">
      <c r="A34" s="142">
        <v>30</v>
      </c>
      <c r="B34" s="148"/>
      <c r="C34" s="149"/>
      <c r="D34" s="129"/>
      <c r="E34" s="130"/>
      <c r="F34" s="129"/>
      <c r="G34" s="154"/>
      <c r="H34" s="114"/>
      <c r="I34" s="114"/>
      <c r="J34" s="115"/>
      <c r="K34" s="115"/>
      <c r="L34" s="115"/>
      <c r="M34" s="115"/>
      <c r="N34" s="157"/>
      <c r="O34" s="116"/>
      <c r="P34" s="116"/>
      <c r="Q34" s="117"/>
      <c r="R34" s="137"/>
      <c r="S34" s="136"/>
      <c r="T34" s="164"/>
      <c r="U34" s="166"/>
      <c r="V34" s="171"/>
      <c r="W34" s="118"/>
    </row>
    <row r="35" spans="1:23">
      <c r="A35" s="142">
        <v>31</v>
      </c>
      <c r="B35" s="148"/>
      <c r="C35" s="149"/>
      <c r="D35" s="129"/>
      <c r="E35" s="130"/>
      <c r="F35" s="129"/>
      <c r="G35" s="154"/>
      <c r="H35" s="114"/>
      <c r="I35" s="114"/>
      <c r="J35" s="115"/>
      <c r="K35" s="115"/>
      <c r="L35" s="115"/>
      <c r="M35" s="115"/>
      <c r="N35" s="157"/>
      <c r="O35" s="116"/>
      <c r="P35" s="116"/>
      <c r="Q35" s="117"/>
      <c r="R35" s="137"/>
      <c r="S35" s="136"/>
      <c r="T35" s="164"/>
      <c r="U35" s="166"/>
      <c r="V35" s="171"/>
      <c r="W35" s="118"/>
    </row>
    <row r="36" spans="1:23">
      <c r="A36" s="142">
        <v>32</v>
      </c>
      <c r="B36" s="148"/>
      <c r="C36" s="149"/>
      <c r="D36" s="129"/>
      <c r="E36" s="130"/>
      <c r="F36" s="129"/>
      <c r="G36" s="154"/>
      <c r="H36" s="114"/>
      <c r="I36" s="114"/>
      <c r="J36" s="115"/>
      <c r="K36" s="115"/>
      <c r="L36" s="115"/>
      <c r="M36" s="115"/>
      <c r="N36" s="157"/>
      <c r="O36" s="116"/>
      <c r="P36" s="116"/>
      <c r="Q36" s="117"/>
      <c r="R36" s="137"/>
      <c r="S36" s="136"/>
      <c r="T36" s="164"/>
      <c r="U36" s="166"/>
      <c r="V36" s="171"/>
      <c r="W36" s="118"/>
    </row>
    <row r="37" spans="1:23">
      <c r="A37" s="142">
        <v>33</v>
      </c>
      <c r="B37" s="148"/>
      <c r="C37" s="149"/>
      <c r="D37" s="129"/>
      <c r="E37" s="130"/>
      <c r="F37" s="129"/>
      <c r="G37" s="154"/>
      <c r="H37" s="114"/>
      <c r="I37" s="114"/>
      <c r="J37" s="115"/>
      <c r="K37" s="115"/>
      <c r="L37" s="115"/>
      <c r="M37" s="115"/>
      <c r="N37" s="157"/>
      <c r="O37" s="116"/>
      <c r="P37" s="116"/>
      <c r="Q37" s="117"/>
      <c r="R37" s="137"/>
      <c r="S37" s="136"/>
      <c r="T37" s="164"/>
      <c r="U37" s="166"/>
      <c r="V37" s="171"/>
      <c r="W37" s="118"/>
    </row>
    <row r="38" spans="1:23">
      <c r="A38" s="142">
        <v>34</v>
      </c>
      <c r="B38" s="148"/>
      <c r="C38" s="149"/>
      <c r="D38" s="129"/>
      <c r="E38" s="130"/>
      <c r="F38" s="129"/>
      <c r="G38" s="154"/>
      <c r="H38" s="114"/>
      <c r="I38" s="114"/>
      <c r="J38" s="115"/>
      <c r="K38" s="115"/>
      <c r="L38" s="115"/>
      <c r="M38" s="115"/>
      <c r="N38" s="157"/>
      <c r="O38" s="116"/>
      <c r="P38" s="116"/>
      <c r="Q38" s="117"/>
      <c r="R38" s="137"/>
      <c r="S38" s="136"/>
      <c r="T38" s="164"/>
      <c r="U38" s="166"/>
      <c r="V38" s="171"/>
      <c r="W38" s="118"/>
    </row>
    <row r="39" spans="1:23">
      <c r="A39" s="142">
        <v>35</v>
      </c>
      <c r="B39" s="148"/>
      <c r="C39" s="149"/>
      <c r="D39" s="129"/>
      <c r="E39" s="130"/>
      <c r="F39" s="129"/>
      <c r="G39" s="154"/>
      <c r="H39" s="114"/>
      <c r="I39" s="114"/>
      <c r="J39" s="115"/>
      <c r="K39" s="115"/>
      <c r="L39" s="115"/>
      <c r="M39" s="115"/>
      <c r="N39" s="157"/>
      <c r="O39" s="116"/>
      <c r="P39" s="116"/>
      <c r="Q39" s="117"/>
      <c r="R39" s="137"/>
      <c r="S39" s="136"/>
      <c r="T39" s="164"/>
      <c r="U39" s="166"/>
      <c r="V39" s="171"/>
      <c r="W39" s="118"/>
    </row>
    <row r="40" spans="1:23">
      <c r="A40" s="142">
        <v>36</v>
      </c>
      <c r="B40" s="148"/>
      <c r="C40" s="149"/>
      <c r="D40" s="129"/>
      <c r="E40" s="130"/>
      <c r="F40" s="129"/>
      <c r="G40" s="154"/>
      <c r="H40" s="114"/>
      <c r="I40" s="114"/>
      <c r="J40" s="115"/>
      <c r="K40" s="115"/>
      <c r="L40" s="115"/>
      <c r="M40" s="115"/>
      <c r="N40" s="157"/>
      <c r="O40" s="116"/>
      <c r="P40" s="116"/>
      <c r="Q40" s="117"/>
      <c r="R40" s="137"/>
      <c r="S40" s="136"/>
      <c r="T40" s="164"/>
      <c r="U40" s="166"/>
      <c r="V40" s="171"/>
      <c r="W40" s="118"/>
    </row>
    <row r="41" spans="1:23">
      <c r="A41" s="142">
        <v>37</v>
      </c>
      <c r="B41" s="148"/>
      <c r="C41" s="149"/>
      <c r="D41" s="129"/>
      <c r="E41" s="130"/>
      <c r="F41" s="129"/>
      <c r="G41" s="154"/>
      <c r="H41" s="114"/>
      <c r="I41" s="114"/>
      <c r="J41" s="115"/>
      <c r="K41" s="115"/>
      <c r="L41" s="115"/>
      <c r="M41" s="115"/>
      <c r="N41" s="157"/>
      <c r="O41" s="116"/>
      <c r="P41" s="116"/>
      <c r="Q41" s="117"/>
      <c r="R41" s="137"/>
      <c r="S41" s="136"/>
      <c r="T41" s="164"/>
      <c r="U41" s="166"/>
      <c r="V41" s="171"/>
      <c r="W41" s="118"/>
    </row>
    <row r="42" spans="1:23">
      <c r="A42" s="142">
        <v>38</v>
      </c>
      <c r="B42" s="148"/>
      <c r="C42" s="149"/>
      <c r="D42" s="129"/>
      <c r="E42" s="130"/>
      <c r="F42" s="129"/>
      <c r="G42" s="154"/>
      <c r="H42" s="114"/>
      <c r="I42" s="114"/>
      <c r="J42" s="115"/>
      <c r="K42" s="115"/>
      <c r="L42" s="115"/>
      <c r="M42" s="115"/>
      <c r="N42" s="157"/>
      <c r="O42" s="116"/>
      <c r="P42" s="116"/>
      <c r="Q42" s="117"/>
      <c r="R42" s="137"/>
      <c r="S42" s="136"/>
      <c r="T42" s="164"/>
      <c r="U42" s="166"/>
      <c r="V42" s="171"/>
      <c r="W42" s="118"/>
    </row>
    <row r="43" spans="1:23">
      <c r="A43" s="142">
        <v>39</v>
      </c>
      <c r="B43" s="148"/>
      <c r="C43" s="149"/>
      <c r="D43" s="129"/>
      <c r="E43" s="130"/>
      <c r="F43" s="129"/>
      <c r="G43" s="154"/>
      <c r="H43" s="114"/>
      <c r="I43" s="114"/>
      <c r="J43" s="115"/>
      <c r="K43" s="115"/>
      <c r="L43" s="115"/>
      <c r="M43" s="115"/>
      <c r="N43" s="157"/>
      <c r="O43" s="116"/>
      <c r="P43" s="116"/>
      <c r="Q43" s="117"/>
      <c r="R43" s="137"/>
      <c r="S43" s="136"/>
      <c r="T43" s="164"/>
      <c r="U43" s="166"/>
      <c r="V43" s="171"/>
      <c r="W43" s="118"/>
    </row>
    <row r="44" spans="1:23" ht="12" thickBot="1">
      <c r="A44" s="143">
        <v>40</v>
      </c>
      <c r="B44" s="150"/>
      <c r="C44" s="151"/>
      <c r="D44" s="131"/>
      <c r="E44" s="132"/>
      <c r="F44" s="131"/>
      <c r="G44" s="155"/>
      <c r="H44" s="119"/>
      <c r="I44" s="119"/>
      <c r="J44" s="120"/>
      <c r="K44" s="120"/>
      <c r="L44" s="120"/>
      <c r="M44" s="120"/>
      <c r="N44" s="158"/>
      <c r="O44" s="159"/>
      <c r="P44" s="159"/>
      <c r="Q44" s="121"/>
      <c r="R44" s="138"/>
      <c r="S44" s="139"/>
      <c r="T44" s="167"/>
      <c r="U44" s="168"/>
      <c r="V44" s="172"/>
      <c r="W44" s="122"/>
    </row>
  </sheetData>
  <phoneticPr fontId="4"/>
  <pageMargins left="0.68" right="0.19685039370078741" top="1.22" bottom="0.43307086614173229" header="0.96" footer="0.19685039370078741"/>
  <pageSetup paperSize="9" orientation="landscape" horizontalDpi="4294967292" r:id="rId1"/>
  <headerFooter alignWithMargins="0">
    <oddHeader>&amp;A</oddHeader>
    <oddFooter>- &amp;P -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4123"/>
  <dimension ref="A1:AF128"/>
  <sheetViews>
    <sheetView zoomScaleNormal="100" zoomScaleSheetLayoutView="50" workbookViewId="0"/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 t="s">
        <v>144</v>
      </c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178" t="s">
        <v>144</v>
      </c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 t="s">
        <v>145</v>
      </c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9" t="s">
        <v>146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s="180" customFormat="1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 t="s">
        <v>147</v>
      </c>
      <c r="C8" s="181" t="s">
        <v>148</v>
      </c>
      <c r="D8" s="34"/>
      <c r="E8" s="182" t="s">
        <v>149</v>
      </c>
      <c r="F8" s="35">
        <v>6</v>
      </c>
      <c r="G8" s="82"/>
      <c r="H8" s="82"/>
      <c r="I8" s="83"/>
      <c r="J8" s="35"/>
      <c r="K8" s="36"/>
      <c r="L8" s="37"/>
      <c r="M8" s="38"/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 t="s">
        <v>150</v>
      </c>
      <c r="C9" s="183" t="s">
        <v>150</v>
      </c>
      <c r="D9" s="41"/>
      <c r="E9" s="184" t="s">
        <v>149</v>
      </c>
      <c r="F9" s="184">
        <v>16</v>
      </c>
      <c r="G9" s="76"/>
      <c r="H9" s="76"/>
      <c r="I9" s="76"/>
      <c r="J9" s="41"/>
      <c r="K9" s="42"/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 t="s">
        <v>151</v>
      </c>
      <c r="C10" s="33" t="s">
        <v>151</v>
      </c>
      <c r="D10" s="34"/>
      <c r="E10" s="182" t="s">
        <v>149</v>
      </c>
      <c r="F10" s="182">
        <v>30</v>
      </c>
      <c r="G10" s="82"/>
      <c r="H10" s="82"/>
      <c r="I10" s="83"/>
      <c r="J10" s="35"/>
      <c r="K10" s="36"/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 t="s">
        <v>152</v>
      </c>
      <c r="C11" s="26" t="s">
        <v>152</v>
      </c>
      <c r="D11" s="41"/>
      <c r="E11" s="184" t="s">
        <v>149</v>
      </c>
      <c r="F11" s="184">
        <v>30</v>
      </c>
      <c r="G11" s="76"/>
      <c r="H11" s="76"/>
      <c r="I11" s="76"/>
      <c r="J11" s="41"/>
      <c r="K11" s="42"/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 t="s">
        <v>153</v>
      </c>
      <c r="C12" s="33" t="s">
        <v>153</v>
      </c>
      <c r="D12" s="35"/>
      <c r="E12" s="182" t="s">
        <v>149</v>
      </c>
      <c r="F12" s="182">
        <v>30</v>
      </c>
      <c r="G12" s="82"/>
      <c r="H12" s="82"/>
      <c r="I12" s="82"/>
      <c r="J12" s="35"/>
      <c r="K12" s="36"/>
      <c r="L12" s="48"/>
      <c r="M12" s="47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 t="s">
        <v>154</v>
      </c>
      <c r="C13" s="26" t="s">
        <v>154</v>
      </c>
      <c r="D13" s="41"/>
      <c r="E13" s="184" t="s">
        <v>149</v>
      </c>
      <c r="F13" s="184">
        <v>30</v>
      </c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 t="s">
        <v>155</v>
      </c>
      <c r="C14" s="33" t="s">
        <v>155</v>
      </c>
      <c r="D14" s="35"/>
      <c r="E14" s="182" t="s">
        <v>149</v>
      </c>
      <c r="F14" s="182">
        <v>512</v>
      </c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 t="s">
        <v>156</v>
      </c>
      <c r="C15" s="183" t="s">
        <v>156</v>
      </c>
      <c r="D15" s="41"/>
      <c r="E15" s="184" t="s">
        <v>149</v>
      </c>
      <c r="F15" s="184">
        <v>4</v>
      </c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 t="s">
        <v>157</v>
      </c>
      <c r="C16" s="181" t="s">
        <v>157</v>
      </c>
      <c r="D16" s="35"/>
      <c r="E16" s="182" t="s">
        <v>149</v>
      </c>
      <c r="F16" s="182">
        <v>8</v>
      </c>
      <c r="G16" s="82"/>
      <c r="H16" s="82"/>
      <c r="I16" s="82"/>
      <c r="J16" s="74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 t="s">
        <v>158</v>
      </c>
      <c r="C17" s="26" t="s">
        <v>158</v>
      </c>
      <c r="D17" s="41"/>
      <c r="E17" s="184" t="s">
        <v>149</v>
      </c>
      <c r="F17" s="184">
        <v>30</v>
      </c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33" t="s">
        <v>159</v>
      </c>
      <c r="C18" s="33" t="s">
        <v>159</v>
      </c>
      <c r="D18" s="35"/>
      <c r="E18" s="182" t="s">
        <v>149</v>
      </c>
      <c r="F18" s="182">
        <v>30</v>
      </c>
      <c r="G18" s="82"/>
      <c r="H18" s="82"/>
      <c r="I18" s="82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 t="s">
        <v>160</v>
      </c>
      <c r="C19" s="26" t="s">
        <v>160</v>
      </c>
      <c r="D19" s="41"/>
      <c r="E19" s="184" t="s">
        <v>149</v>
      </c>
      <c r="F19" s="184">
        <v>10</v>
      </c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 t="s">
        <v>161</v>
      </c>
      <c r="C20" s="72" t="s">
        <v>161</v>
      </c>
      <c r="D20" s="74"/>
      <c r="E20" s="182" t="s">
        <v>149</v>
      </c>
      <c r="F20" s="182">
        <v>10</v>
      </c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183"/>
      <c r="C21" s="183"/>
      <c r="D21" s="41"/>
      <c r="E21" s="184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185"/>
      <c r="C22" s="185"/>
      <c r="D22" s="74"/>
      <c r="E22" s="182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6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14122"/>
  <dimension ref="A1:AF128"/>
  <sheetViews>
    <sheetView zoomScaleNormal="100" zoomScaleSheetLayoutView="50" workbookViewId="0"/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6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 t="s">
        <v>162</v>
      </c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178" t="s">
        <v>162</v>
      </c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 t="s">
        <v>181</v>
      </c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9" t="s">
        <v>146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s="180" customFormat="1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 t="s">
        <v>147</v>
      </c>
      <c r="C8" s="181" t="s">
        <v>163</v>
      </c>
      <c r="D8" s="34"/>
      <c r="E8" s="182" t="s">
        <v>164</v>
      </c>
      <c r="F8" s="35">
        <v>8</v>
      </c>
      <c r="G8" s="186" t="s">
        <v>165</v>
      </c>
      <c r="H8" s="186" t="s">
        <v>165</v>
      </c>
      <c r="I8" s="187" t="s">
        <v>165</v>
      </c>
      <c r="J8" s="35"/>
      <c r="K8" s="36"/>
      <c r="L8" s="77">
        <v>1</v>
      </c>
      <c r="M8" s="38">
        <v>1</v>
      </c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 t="s">
        <v>150</v>
      </c>
      <c r="C9" s="183" t="s">
        <v>150</v>
      </c>
      <c r="D9" s="41"/>
      <c r="E9" s="184" t="s">
        <v>149</v>
      </c>
      <c r="F9" s="184">
        <v>10</v>
      </c>
      <c r="G9" s="76"/>
      <c r="H9" s="76"/>
      <c r="I9" s="76"/>
      <c r="J9" s="41"/>
      <c r="K9" s="42" t="s">
        <v>166</v>
      </c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 t="s">
        <v>151</v>
      </c>
      <c r="C10" s="33" t="s">
        <v>151</v>
      </c>
      <c r="D10" s="34"/>
      <c r="E10" s="182" t="s">
        <v>149</v>
      </c>
      <c r="F10" s="182">
        <v>20</v>
      </c>
      <c r="G10" s="82"/>
      <c r="H10" s="82"/>
      <c r="I10" s="83"/>
      <c r="J10" s="35"/>
      <c r="K10" s="36"/>
      <c r="L10" s="77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 t="s">
        <v>152</v>
      </c>
      <c r="C11" s="26" t="s">
        <v>152</v>
      </c>
      <c r="D11" s="41"/>
      <c r="E11" s="184" t="s">
        <v>149</v>
      </c>
      <c r="F11" s="184">
        <v>30</v>
      </c>
      <c r="G11" s="76"/>
      <c r="H11" s="76"/>
      <c r="I11" s="188" t="s">
        <v>165</v>
      </c>
      <c r="J11" s="41"/>
      <c r="K11" s="42"/>
      <c r="L11" s="43"/>
      <c r="M11" s="44"/>
      <c r="N11" s="44">
        <v>1</v>
      </c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 t="s">
        <v>153</v>
      </c>
      <c r="C12" s="33" t="s">
        <v>153</v>
      </c>
      <c r="D12" s="35"/>
      <c r="E12" s="182" t="s">
        <v>149</v>
      </c>
      <c r="F12" s="182">
        <v>30</v>
      </c>
      <c r="G12" s="82"/>
      <c r="H12" s="82"/>
      <c r="I12" s="186" t="s">
        <v>165</v>
      </c>
      <c r="J12" s="35"/>
      <c r="K12" s="36"/>
      <c r="L12" s="77"/>
      <c r="M12" s="47"/>
      <c r="N12" s="49">
        <v>2</v>
      </c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 t="s">
        <v>154</v>
      </c>
      <c r="C13" s="26" t="s">
        <v>154</v>
      </c>
      <c r="D13" s="41"/>
      <c r="E13" s="184" t="s">
        <v>149</v>
      </c>
      <c r="F13" s="184">
        <v>30</v>
      </c>
      <c r="G13" s="76"/>
      <c r="H13" s="76"/>
      <c r="I13" s="188" t="s">
        <v>165</v>
      </c>
      <c r="J13" s="41"/>
      <c r="K13" s="42"/>
      <c r="L13" s="43"/>
      <c r="M13" s="44"/>
      <c r="N13" s="44">
        <v>3</v>
      </c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 t="s">
        <v>155</v>
      </c>
      <c r="C14" s="33" t="s">
        <v>155</v>
      </c>
      <c r="D14" s="35"/>
      <c r="E14" s="182" t="s">
        <v>149</v>
      </c>
      <c r="F14" s="182">
        <v>512</v>
      </c>
      <c r="G14" s="82"/>
      <c r="H14" s="82"/>
      <c r="I14" s="82"/>
      <c r="J14" s="35"/>
      <c r="K14" s="36"/>
      <c r="L14" s="77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 t="s">
        <v>156</v>
      </c>
      <c r="C15" s="183" t="s">
        <v>156</v>
      </c>
      <c r="D15" s="41"/>
      <c r="E15" s="184" t="s">
        <v>167</v>
      </c>
      <c r="F15" s="184">
        <v>8</v>
      </c>
      <c r="G15" s="76"/>
      <c r="H15" s="76"/>
      <c r="I15" s="76"/>
      <c r="J15" s="41"/>
      <c r="K15" s="50" t="s">
        <v>168</v>
      </c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 t="s">
        <v>157</v>
      </c>
      <c r="C16" s="181" t="s">
        <v>157</v>
      </c>
      <c r="D16" s="35"/>
      <c r="E16" s="182" t="s">
        <v>167</v>
      </c>
      <c r="F16" s="182">
        <v>8</v>
      </c>
      <c r="G16" s="82"/>
      <c r="H16" s="82"/>
      <c r="I16" s="82"/>
      <c r="J16" s="74"/>
      <c r="K16" s="36" t="s">
        <v>169</v>
      </c>
      <c r="L16" s="77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 t="s">
        <v>158</v>
      </c>
      <c r="C17" s="26" t="s">
        <v>158</v>
      </c>
      <c r="D17" s="41"/>
      <c r="E17" s="184" t="s">
        <v>149</v>
      </c>
      <c r="F17" s="184">
        <v>30</v>
      </c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33" t="s">
        <v>159</v>
      </c>
      <c r="C18" s="33" t="s">
        <v>159</v>
      </c>
      <c r="D18" s="35"/>
      <c r="E18" s="182" t="s">
        <v>149</v>
      </c>
      <c r="F18" s="182">
        <v>30</v>
      </c>
      <c r="G18" s="82"/>
      <c r="H18" s="82"/>
      <c r="I18" s="82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 t="s">
        <v>160</v>
      </c>
      <c r="C19" s="26" t="s">
        <v>160</v>
      </c>
      <c r="D19" s="41"/>
      <c r="E19" s="184" t="s">
        <v>149</v>
      </c>
      <c r="F19" s="184">
        <v>10</v>
      </c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 t="s">
        <v>161</v>
      </c>
      <c r="C20" s="72" t="s">
        <v>161</v>
      </c>
      <c r="D20" s="74"/>
      <c r="E20" s="182" t="s">
        <v>149</v>
      </c>
      <c r="F20" s="182">
        <v>10</v>
      </c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183" t="s">
        <v>170</v>
      </c>
      <c r="C21" s="183" t="s">
        <v>171</v>
      </c>
      <c r="D21" s="41"/>
      <c r="E21" s="184" t="s">
        <v>164</v>
      </c>
      <c r="F21" s="41">
        <v>8</v>
      </c>
      <c r="G21" s="76"/>
      <c r="H21" s="76"/>
      <c r="I21" s="76"/>
      <c r="J21" s="41"/>
      <c r="K21" s="42" t="s">
        <v>172</v>
      </c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185" t="s">
        <v>173</v>
      </c>
      <c r="C22" s="185" t="s">
        <v>174</v>
      </c>
      <c r="D22" s="74"/>
      <c r="E22" s="182" t="s">
        <v>164</v>
      </c>
      <c r="F22" s="74">
        <v>8</v>
      </c>
      <c r="G22" s="75"/>
      <c r="H22" s="75"/>
      <c r="I22" s="75"/>
      <c r="J22" s="74"/>
      <c r="K22" s="36" t="s">
        <v>175</v>
      </c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6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14121"/>
  <dimension ref="A1:AF128"/>
  <sheetViews>
    <sheetView zoomScaleNormal="100" zoomScaleSheetLayoutView="50" workbookViewId="0"/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1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/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24"/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/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7" t="s">
        <v>125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/>
      <c r="C8" s="33"/>
      <c r="D8" s="34"/>
      <c r="E8" s="35"/>
      <c r="F8" s="35"/>
      <c r="G8" s="82"/>
      <c r="H8" s="82"/>
      <c r="I8" s="83"/>
      <c r="J8" s="35"/>
      <c r="K8" s="36"/>
      <c r="L8" s="37"/>
      <c r="M8" s="38"/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/>
      <c r="C9" s="26"/>
      <c r="D9" s="41"/>
      <c r="E9" s="41"/>
      <c r="F9" s="41"/>
      <c r="G9" s="76"/>
      <c r="H9" s="76"/>
      <c r="I9" s="76"/>
      <c r="J9" s="41"/>
      <c r="K9" s="42"/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/>
      <c r="C10" s="33"/>
      <c r="D10" s="34"/>
      <c r="E10" s="35"/>
      <c r="F10" s="35"/>
      <c r="G10" s="82"/>
      <c r="H10" s="82"/>
      <c r="I10" s="83"/>
      <c r="J10" s="35"/>
      <c r="K10" s="36"/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/>
      <c r="C11" s="26"/>
      <c r="D11" s="41"/>
      <c r="E11" s="41"/>
      <c r="F11" s="41"/>
      <c r="G11" s="76"/>
      <c r="H11" s="76"/>
      <c r="I11" s="76"/>
      <c r="J11" s="41"/>
      <c r="K11" s="42"/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/>
      <c r="C12" s="33"/>
      <c r="D12" s="35"/>
      <c r="E12" s="35"/>
      <c r="F12" s="35"/>
      <c r="G12" s="82"/>
      <c r="H12" s="82"/>
      <c r="I12" s="82"/>
      <c r="J12" s="35"/>
      <c r="K12" s="36"/>
      <c r="L12" s="48"/>
      <c r="M12" s="49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/>
      <c r="C13" s="26"/>
      <c r="D13" s="41"/>
      <c r="E13" s="41"/>
      <c r="F13" s="41"/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/>
      <c r="C14" s="33"/>
      <c r="D14" s="35"/>
      <c r="E14" s="35"/>
      <c r="F14" s="35"/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/>
      <c r="C15" s="26"/>
      <c r="D15" s="41"/>
      <c r="E15" s="41"/>
      <c r="F15" s="41"/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/>
      <c r="C16" s="33"/>
      <c r="D16" s="35"/>
      <c r="E16" s="35"/>
      <c r="F16" s="35"/>
      <c r="G16" s="82"/>
      <c r="H16" s="82"/>
      <c r="I16" s="82"/>
      <c r="J16" s="35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/>
      <c r="C17" s="26"/>
      <c r="D17" s="41"/>
      <c r="E17" s="41"/>
      <c r="F17" s="41"/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72"/>
      <c r="C18" s="72"/>
      <c r="D18" s="74"/>
      <c r="E18" s="74"/>
      <c r="F18" s="74"/>
      <c r="G18" s="75"/>
      <c r="H18" s="75"/>
      <c r="I18" s="75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/>
      <c r="C19" s="26"/>
      <c r="D19" s="41"/>
      <c r="E19" s="41"/>
      <c r="F19" s="41"/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/>
      <c r="C20" s="72"/>
      <c r="D20" s="74"/>
      <c r="E20" s="74"/>
      <c r="F20" s="74"/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26"/>
      <c r="C21" s="26"/>
      <c r="D21" s="41"/>
      <c r="E21" s="41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72"/>
      <c r="C22" s="72"/>
      <c r="D22" s="74"/>
      <c r="E22" s="74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2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E49"/>
  <sheetViews>
    <sheetView workbookViewId="0">
      <pane ySplit="1" topLeftCell="A2" activePane="bottomLeft" state="frozen"/>
      <selection pane="bottomLeft"/>
    </sheetView>
  </sheetViews>
  <sheetFormatPr defaultRowHeight="11.25"/>
  <cols>
    <col min="1" max="1" width="23" customWidth="1"/>
    <col min="2" max="2" width="23.1640625" style="15" customWidth="1"/>
    <col min="3" max="3" width="5.6640625" customWidth="1"/>
    <col min="4" max="4" width="47.6640625" customWidth="1"/>
    <col min="5" max="5" width="19.83203125" customWidth="1"/>
  </cols>
  <sheetData>
    <row r="1" spans="1:5" s="93" customFormat="1">
      <c r="A1" s="93" t="s">
        <v>89</v>
      </c>
      <c r="B1" s="94" t="s">
        <v>90</v>
      </c>
      <c r="D1" s="93" t="s">
        <v>114</v>
      </c>
      <c r="E1" s="93" t="s">
        <v>91</v>
      </c>
    </row>
    <row r="2" spans="1:5">
      <c r="A2" t="s">
        <v>36</v>
      </c>
      <c r="B2" s="90" t="s">
        <v>183</v>
      </c>
      <c r="D2" t="s">
        <v>92</v>
      </c>
      <c r="E2" s="15" t="str">
        <f>"range("""&amp;A2&amp;""").value"</f>
        <v>range("directory").value</v>
      </c>
    </row>
    <row r="3" spans="1:5">
      <c r="A3" t="s">
        <v>35</v>
      </c>
      <c r="B3" s="90" t="s">
        <v>183</v>
      </c>
      <c r="D3" t="s">
        <v>78</v>
      </c>
      <c r="E3" s="15" t="str">
        <f t="shared" ref="E3:E28" si="0">"range("""&amp;A3&amp;""").value"</f>
        <v>range("ctldestdir").value</v>
      </c>
    </row>
    <row r="4" spans="1:5">
      <c r="A4" t="s">
        <v>66</v>
      </c>
      <c r="B4" s="90" t="s">
        <v>184</v>
      </c>
      <c r="D4" t="s">
        <v>65</v>
      </c>
      <c r="E4" s="15" t="str">
        <f t="shared" si="0"/>
        <v>range("loaddatadir").value</v>
      </c>
    </row>
    <row r="5" spans="1:5">
      <c r="A5" t="s">
        <v>180</v>
      </c>
      <c r="B5" s="90" t="s">
        <v>179</v>
      </c>
      <c r="D5" t="s">
        <v>182</v>
      </c>
      <c r="E5" s="15" t="str">
        <f t="shared" si="0"/>
        <v>range("DB3file").value</v>
      </c>
    </row>
    <row r="6" spans="1:5">
      <c r="B6" s="90"/>
      <c r="E6" s="15"/>
    </row>
    <row r="7" spans="1:5">
      <c r="D7" s="95" t="s">
        <v>143</v>
      </c>
      <c r="E7" s="15"/>
    </row>
    <row r="8" spans="1:5">
      <c r="A8" t="s">
        <v>124</v>
      </c>
      <c r="B8" s="173">
        <v>2</v>
      </c>
      <c r="D8" t="s">
        <v>126</v>
      </c>
      <c r="E8" s="15" t="str">
        <f>"range("""&amp;A8&amp;""").value"</f>
        <v>range("tablesheet_name_col").value</v>
      </c>
    </row>
    <row r="9" spans="1:5">
      <c r="A9" t="s">
        <v>97</v>
      </c>
      <c r="B9" s="173">
        <v>3</v>
      </c>
      <c r="D9" t="s">
        <v>0</v>
      </c>
      <c r="E9" s="15" t="str">
        <f t="shared" si="0"/>
        <v>range("RecRows_col").value</v>
      </c>
    </row>
    <row r="10" spans="1:5">
      <c r="A10" t="s">
        <v>93</v>
      </c>
      <c r="B10" s="173">
        <v>4</v>
      </c>
      <c r="D10" t="s">
        <v>1</v>
      </c>
      <c r="E10" s="15" t="str">
        <f t="shared" si="0"/>
        <v>range("RecLen_col").value</v>
      </c>
    </row>
    <row r="11" spans="1:5">
      <c r="A11" t="s">
        <v>94</v>
      </c>
      <c r="B11" s="173">
        <v>5</v>
      </c>
      <c r="D11" t="s">
        <v>2</v>
      </c>
      <c r="E11" s="15" t="str">
        <f t="shared" si="0"/>
        <v>range("RecPerBlock_col").value</v>
      </c>
    </row>
    <row r="12" spans="1:5">
      <c r="A12" t="s">
        <v>95</v>
      </c>
      <c r="B12" s="173">
        <v>6</v>
      </c>
      <c r="D12" t="s">
        <v>3</v>
      </c>
      <c r="E12" s="15" t="str">
        <f t="shared" si="0"/>
        <v>range("Bloks_col").value</v>
      </c>
    </row>
    <row r="13" spans="1:5">
      <c r="A13" t="s">
        <v>96</v>
      </c>
      <c r="B13" s="173">
        <v>7</v>
      </c>
      <c r="D13" t="s">
        <v>4</v>
      </c>
      <c r="E13" s="15" t="str">
        <f t="shared" si="0"/>
        <v>range("Size_col").value</v>
      </c>
    </row>
    <row r="14" spans="1:5">
      <c r="A14" t="s">
        <v>72</v>
      </c>
      <c r="B14" s="173">
        <v>8</v>
      </c>
      <c r="D14" t="s">
        <v>5</v>
      </c>
      <c r="E14" s="15" t="str">
        <f t="shared" si="0"/>
        <v>range("INIT_col").value</v>
      </c>
    </row>
    <row r="15" spans="1:5">
      <c r="A15" t="s">
        <v>73</v>
      </c>
      <c r="B15" s="173">
        <v>9</v>
      </c>
      <c r="D15" t="s">
        <v>6</v>
      </c>
      <c r="E15" s="15" t="str">
        <f t="shared" si="0"/>
        <v>range("NEXT_col").value</v>
      </c>
    </row>
    <row r="16" spans="1:5">
      <c r="A16" t="s">
        <v>74</v>
      </c>
      <c r="B16" s="173">
        <v>10</v>
      </c>
      <c r="D16" t="s">
        <v>7</v>
      </c>
      <c r="E16" s="15" t="str">
        <f t="shared" si="0"/>
        <v>range("MAX_col").value</v>
      </c>
    </row>
    <row r="17" spans="1:5">
      <c r="A17" t="s">
        <v>75</v>
      </c>
      <c r="B17" s="173">
        <v>11</v>
      </c>
      <c r="D17" t="s">
        <v>8</v>
      </c>
      <c r="E17" s="15" t="str">
        <f t="shared" si="0"/>
        <v>range("INCREASE_col").value</v>
      </c>
    </row>
    <row r="18" spans="1:5">
      <c r="A18" t="s">
        <v>76</v>
      </c>
      <c r="B18" s="173">
        <v>12</v>
      </c>
      <c r="D18" t="s">
        <v>9</v>
      </c>
      <c r="E18" s="15" t="str">
        <f t="shared" si="0"/>
        <v>range("PCTFREE_col").value</v>
      </c>
    </row>
    <row r="19" spans="1:5">
      <c r="A19" t="s">
        <v>77</v>
      </c>
      <c r="B19" s="173">
        <v>13</v>
      </c>
      <c r="D19" t="s">
        <v>10</v>
      </c>
      <c r="E19" s="15" t="str">
        <f t="shared" si="0"/>
        <v>range("PCTUSED_col").value</v>
      </c>
    </row>
    <row r="20" spans="1:5">
      <c r="A20" t="s">
        <v>98</v>
      </c>
      <c r="B20" s="173">
        <v>14</v>
      </c>
      <c r="D20" t="s">
        <v>11</v>
      </c>
      <c r="E20" s="15" t="str">
        <f t="shared" si="0"/>
        <v>range("SEGMENT_col").value</v>
      </c>
    </row>
    <row r="21" spans="1:5">
      <c r="A21" t="s">
        <v>70</v>
      </c>
      <c r="B21" s="173">
        <v>15</v>
      </c>
      <c r="D21" t="s">
        <v>12</v>
      </c>
      <c r="E21" s="15" t="str">
        <f t="shared" si="0"/>
        <v>range("tablespace_col").value</v>
      </c>
    </row>
    <row r="22" spans="1:5">
      <c r="A22" t="s">
        <v>71</v>
      </c>
      <c r="B22" s="173">
        <v>16</v>
      </c>
      <c r="D22" t="s">
        <v>13</v>
      </c>
      <c r="E22" s="15" t="str">
        <f t="shared" si="0"/>
        <v>range("tablespaceidx_col").value</v>
      </c>
    </row>
    <row r="23" spans="1:5">
      <c r="A23" t="s">
        <v>103</v>
      </c>
      <c r="B23" s="173">
        <v>18</v>
      </c>
      <c r="D23" t="s">
        <v>127</v>
      </c>
      <c r="E23" s="15" t="str">
        <f t="shared" si="0"/>
        <v>range("DDL_TS_col").value</v>
      </c>
    </row>
    <row r="24" spans="1:5">
      <c r="A24" t="s">
        <v>104</v>
      </c>
      <c r="B24" s="173">
        <v>19</v>
      </c>
      <c r="D24" t="s">
        <v>128</v>
      </c>
      <c r="E24" s="15" t="str">
        <f t="shared" si="0"/>
        <v>range("DDL_flag_col").value</v>
      </c>
    </row>
    <row r="25" spans="1:5">
      <c r="A25" t="s">
        <v>109</v>
      </c>
      <c r="B25" s="173">
        <v>20</v>
      </c>
      <c r="D25" t="s">
        <v>129</v>
      </c>
      <c r="E25" s="15" t="str">
        <f t="shared" si="0"/>
        <v>range("MAX_flag_col").value</v>
      </c>
    </row>
    <row r="26" spans="1:5">
      <c r="A26" t="s">
        <v>107</v>
      </c>
      <c r="B26" s="173">
        <v>21</v>
      </c>
      <c r="D26" t="s">
        <v>130</v>
      </c>
      <c r="E26" s="15" t="str">
        <f t="shared" si="0"/>
        <v>range("CTL_TS_col").value</v>
      </c>
    </row>
    <row r="27" spans="1:5">
      <c r="A27" t="s">
        <v>108</v>
      </c>
      <c r="B27" s="173">
        <v>22</v>
      </c>
      <c r="D27" t="s">
        <v>34</v>
      </c>
      <c r="E27" s="15" t="str">
        <f t="shared" si="0"/>
        <v>range("CTL_flag_col").value</v>
      </c>
    </row>
    <row r="28" spans="1:5">
      <c r="A28" t="s">
        <v>69</v>
      </c>
      <c r="B28" s="173">
        <v>23</v>
      </c>
      <c r="D28" t="s">
        <v>131</v>
      </c>
      <c r="E28" s="15" t="str">
        <f t="shared" si="0"/>
        <v>range("table_CD_col").value</v>
      </c>
    </row>
    <row r="29" spans="1:5">
      <c r="A29" s="15" t="s">
        <v>85</v>
      </c>
      <c r="B29" s="174">
        <v>5</v>
      </c>
      <c r="D29" t="s">
        <v>133</v>
      </c>
      <c r="E29" s="15" t="str">
        <f>"range("""&amp;A29&amp;""").value"</f>
        <v>range("TBL_row").value</v>
      </c>
    </row>
    <row r="30" spans="1:5">
      <c r="A30" s="15" t="s">
        <v>86</v>
      </c>
      <c r="B30" s="174">
        <v>40</v>
      </c>
      <c r="D30" t="s">
        <v>99</v>
      </c>
      <c r="E30" s="15" t="str">
        <f>"range("""&amp;A30&amp;""").value"</f>
        <v>range("TBL_max").value</v>
      </c>
    </row>
    <row r="31" spans="1:5">
      <c r="B31" s="173"/>
    </row>
    <row r="32" spans="1:5">
      <c r="B32" s="173"/>
      <c r="D32" s="95" t="s">
        <v>132</v>
      </c>
    </row>
    <row r="33" spans="1:5">
      <c r="A33" t="s">
        <v>67</v>
      </c>
      <c r="B33" s="173">
        <v>3</v>
      </c>
      <c r="D33" t="s">
        <v>105</v>
      </c>
      <c r="E33" s="15" t="str">
        <f>"range("""&amp;A33&amp;""").value"</f>
        <v>range("table_name_col").value</v>
      </c>
    </row>
    <row r="34" spans="1:5">
      <c r="A34" t="s">
        <v>68</v>
      </c>
      <c r="B34" s="173">
        <v>1</v>
      </c>
      <c r="D34" t="s">
        <v>106</v>
      </c>
      <c r="E34" s="15" t="str">
        <f>"range("""&amp;A34&amp;""").value"</f>
        <v>range("table_name_row").value</v>
      </c>
    </row>
    <row r="35" spans="1:5">
      <c r="A35" s="15" t="s">
        <v>88</v>
      </c>
      <c r="B35" s="173">
        <v>3</v>
      </c>
      <c r="D35" t="s">
        <v>134</v>
      </c>
      <c r="E35" s="15" t="str">
        <f>"range("""&amp;A35&amp;""").value"</f>
        <v>range("TBLCDNM_col").value</v>
      </c>
    </row>
    <row r="36" spans="1:5">
      <c r="A36" s="15" t="s">
        <v>142</v>
      </c>
      <c r="B36" s="173">
        <v>2</v>
      </c>
      <c r="D36" t="s">
        <v>135</v>
      </c>
      <c r="E36" s="15" t="str">
        <f>"range("""&amp;A36&amp;""").value"</f>
        <v>range("TBLCDNM_row").value</v>
      </c>
    </row>
    <row r="37" spans="1:5">
      <c r="A37" s="15" t="s">
        <v>80</v>
      </c>
      <c r="B37" s="173">
        <v>3</v>
      </c>
      <c r="D37" t="s">
        <v>101</v>
      </c>
      <c r="E37" s="15" t="str">
        <f t="shared" ref="E37:E49" si="1">"range("""&amp;A37&amp;""").value"</f>
        <v>range("COL_col").value</v>
      </c>
    </row>
    <row r="38" spans="1:5">
      <c r="A38" s="15" t="s">
        <v>79</v>
      </c>
      <c r="B38" s="173">
        <v>8</v>
      </c>
      <c r="D38" t="s">
        <v>136</v>
      </c>
      <c r="E38" s="15" t="str">
        <f t="shared" si="1"/>
        <v>range("COL_row").value</v>
      </c>
    </row>
    <row r="39" spans="1:5">
      <c r="A39" s="15" t="s">
        <v>81</v>
      </c>
      <c r="B39" s="174">
        <v>5</v>
      </c>
      <c r="D39" t="s">
        <v>118</v>
      </c>
      <c r="E39" s="15" t="str">
        <f t="shared" si="1"/>
        <v>range("TYP_col").value</v>
      </c>
    </row>
    <row r="40" spans="1:5">
      <c r="A40" s="15" t="s">
        <v>82</v>
      </c>
      <c r="B40" s="174">
        <v>8</v>
      </c>
      <c r="D40" t="s">
        <v>137</v>
      </c>
      <c r="E40" s="15" t="str">
        <f t="shared" si="1"/>
        <v>range("TYP_row").value</v>
      </c>
    </row>
    <row r="41" spans="1:5">
      <c r="A41" s="15" t="s">
        <v>83</v>
      </c>
      <c r="B41" s="174">
        <v>6</v>
      </c>
      <c r="D41" t="s">
        <v>119</v>
      </c>
      <c r="E41" s="15" t="str">
        <f t="shared" si="1"/>
        <v>range("LEN_col").value</v>
      </c>
    </row>
    <row r="42" spans="1:5">
      <c r="A42" s="15" t="s">
        <v>84</v>
      </c>
      <c r="B42" s="174">
        <v>8</v>
      </c>
      <c r="D42" t="s">
        <v>138</v>
      </c>
      <c r="E42" s="15" t="str">
        <f t="shared" si="1"/>
        <v>range("LEN_row").value</v>
      </c>
    </row>
    <row r="43" spans="1:5">
      <c r="A43" s="15" t="s">
        <v>117</v>
      </c>
      <c r="B43" s="174">
        <v>7</v>
      </c>
      <c r="D43" t="s">
        <v>120</v>
      </c>
      <c r="E43" s="15" t="str">
        <f t="shared" si="1"/>
        <v>range("PRIMARY_col").value</v>
      </c>
    </row>
    <row r="44" spans="1:5">
      <c r="A44" s="15" t="s">
        <v>100</v>
      </c>
      <c r="B44" s="174">
        <v>8</v>
      </c>
      <c r="D44" t="s">
        <v>102</v>
      </c>
      <c r="E44" s="15" t="str">
        <f t="shared" si="1"/>
        <v>range("NOTNULL_col").value</v>
      </c>
    </row>
    <row r="45" spans="1:5">
      <c r="A45" t="s">
        <v>111</v>
      </c>
      <c r="B45" s="174">
        <v>12</v>
      </c>
      <c r="D45" t="s">
        <v>110</v>
      </c>
      <c r="E45" s="15" t="str">
        <f t="shared" si="1"/>
        <v>range("PK_col").value</v>
      </c>
    </row>
    <row r="46" spans="1:5">
      <c r="A46" t="s">
        <v>116</v>
      </c>
      <c r="B46" s="174">
        <v>6</v>
      </c>
      <c r="D46" t="s">
        <v>115</v>
      </c>
      <c r="E46" s="15" t="str">
        <f t="shared" si="1"/>
        <v>range("uniq_row").value</v>
      </c>
    </row>
    <row r="47" spans="1:5">
      <c r="A47" t="s">
        <v>112</v>
      </c>
      <c r="B47" s="173">
        <v>13</v>
      </c>
      <c r="D47" t="s">
        <v>113</v>
      </c>
      <c r="E47" s="15" t="str">
        <f t="shared" si="1"/>
        <v>range("IDX_col").value</v>
      </c>
    </row>
    <row r="48" spans="1:5">
      <c r="A48" t="s">
        <v>139</v>
      </c>
      <c r="B48" s="173">
        <v>20</v>
      </c>
      <c r="D48" t="s">
        <v>141</v>
      </c>
      <c r="E48" s="15" t="str">
        <f t="shared" si="1"/>
        <v>range("IDX_max").value</v>
      </c>
    </row>
    <row r="49" spans="1:5">
      <c r="A49" s="15" t="s">
        <v>87</v>
      </c>
      <c r="B49" s="174">
        <v>100</v>
      </c>
      <c r="D49" t="s">
        <v>140</v>
      </c>
      <c r="E49" s="15" t="str">
        <f t="shared" si="1"/>
        <v>range("COL_max").value</v>
      </c>
    </row>
  </sheetData>
  <phoneticPr fontId="4"/>
  <pageMargins left="0.78700000000000003" right="0.78700000000000003" top="0.98399999999999999" bottom="0.98399999999999999" header="0.51200000000000001" footer="0.51200000000000001"/>
  <pageSetup paperSize="9" orientation="landscape" horizontalDpi="4294967292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48</vt:i4>
      </vt:variant>
    </vt:vector>
  </HeadingPairs>
  <TitlesOfParts>
    <vt:vector size="53" baseType="lpstr">
      <vt:lpstr>テーブル一覧</vt:lpstr>
      <vt:lpstr>支出STR</vt:lpstr>
      <vt:lpstr>支出</vt:lpstr>
      <vt:lpstr>雛型</vt:lpstr>
      <vt:lpstr>DefNAME</vt:lpstr>
      <vt:lpstr>Bloks_col</vt:lpstr>
      <vt:lpstr>COL_col</vt:lpstr>
      <vt:lpstr>COL_max</vt:lpstr>
      <vt:lpstr>COL_row</vt:lpstr>
      <vt:lpstr>CTL_flag_col</vt:lpstr>
      <vt:lpstr>CTL_TS_col</vt:lpstr>
      <vt:lpstr>ctldestdir</vt:lpstr>
      <vt:lpstr>DB3file</vt:lpstr>
      <vt:lpstr>DDL_flag_col</vt:lpstr>
      <vt:lpstr>DDL_TS_col</vt:lpstr>
      <vt:lpstr>directory</vt:lpstr>
      <vt:lpstr>IDX_col</vt:lpstr>
      <vt:lpstr>IDX_max</vt:lpstr>
      <vt:lpstr>INCREASE_col</vt:lpstr>
      <vt:lpstr>INIT_col</vt:lpstr>
      <vt:lpstr>LEN_col</vt:lpstr>
      <vt:lpstr>LEN_row</vt:lpstr>
      <vt:lpstr>loaddatadir</vt:lpstr>
      <vt:lpstr>MAX_col</vt:lpstr>
      <vt:lpstr>MAX_flag_col</vt:lpstr>
      <vt:lpstr>NEXT_col</vt:lpstr>
      <vt:lpstr>NOTNULL_col</vt:lpstr>
      <vt:lpstr>PCTFREE_col</vt:lpstr>
      <vt:lpstr>PCTUSED_col</vt:lpstr>
      <vt:lpstr>PK_col</vt:lpstr>
      <vt:lpstr>PRIMARY_col</vt:lpstr>
      <vt:lpstr>テーブル一覧!Print_Area</vt:lpstr>
      <vt:lpstr>支出!Print_Area</vt:lpstr>
      <vt:lpstr>支出STR!Print_Area</vt:lpstr>
      <vt:lpstr>雛型!Print_Area</vt:lpstr>
      <vt:lpstr>RecLen_col</vt:lpstr>
      <vt:lpstr>RecPerBlock_col</vt:lpstr>
      <vt:lpstr>RecRows_col</vt:lpstr>
      <vt:lpstr>SEGMENT_col</vt:lpstr>
      <vt:lpstr>Size_col</vt:lpstr>
      <vt:lpstr>table_CD_col</vt:lpstr>
      <vt:lpstr>table_name_col</vt:lpstr>
      <vt:lpstr>table_name_row</vt:lpstr>
      <vt:lpstr>tablesheet_name_col</vt:lpstr>
      <vt:lpstr>tablespace_col</vt:lpstr>
      <vt:lpstr>tablespaceidx_col</vt:lpstr>
      <vt:lpstr>TBL_max</vt:lpstr>
      <vt:lpstr>TBL_row</vt:lpstr>
      <vt:lpstr>TBLCDNM_col</vt:lpstr>
      <vt:lpstr>TBLCDNM_row</vt:lpstr>
      <vt:lpstr>TYP_col</vt:lpstr>
      <vt:lpstr>TYP_row</vt:lpstr>
      <vt:lpstr>uniq_row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hosiyama</dc:creator>
  <cp:lastModifiedBy>hosiyama</cp:lastModifiedBy>
  <cp:lastPrinted>2026-09-23T01:03:40Z</cp:lastPrinted>
  <dcterms:created xsi:type="dcterms:W3CDTF">1996-12-24T10:20:35Z</dcterms:created>
  <dcterms:modified xsi:type="dcterms:W3CDTF">2026-09-28T12:14:26Z</dcterms:modified>
</cp:coreProperties>
</file>