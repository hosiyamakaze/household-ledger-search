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120" yWindow="30" windowWidth="20775" windowHeight="10770"/>
  </bookViews>
  <sheets>
    <sheet name="支出 (塗りSELECT例)" sheetId="6" r:id="rId1"/>
    <sheet name="支出 (塗りUPDATE例)" sheetId="5" r:id="rId2"/>
    <sheet name="支出 (塗りDELETE例)" sheetId="7" r:id="rId3"/>
    <sheet name="支出 (塗りSELECT集計例)" sheetId="10" r:id="rId4"/>
    <sheet name="支出 (塗りINSERT例)" sheetId="8" r:id="rId5"/>
    <sheet name="雛型" sheetId="4" r:id="rId6"/>
    <sheet name="DefNAME" sheetId="3" r:id="rId7"/>
  </sheets>
  <functionGroups/>
  <definedNames>
    <definedName name="Bloks_col">DefNAME!$B$12</definedName>
    <definedName name="COL_col">DefNAME!$B$38</definedName>
    <definedName name="COL_max">DefNAME!$B$50</definedName>
    <definedName name="COL_row">DefNAME!$B$39</definedName>
    <definedName name="CTL_flag_col">DefNAME!$B$27</definedName>
    <definedName name="CTL_TS_col">DefNAME!$B$26</definedName>
    <definedName name="ctldestdir">DefNAME!$B$3</definedName>
    <definedName name="D_data_col">DefNAME!$B$60</definedName>
    <definedName name="D_data_row">DefNAME!$B$61</definedName>
    <definedName name="D_item_col">DefNAME!$B$55</definedName>
    <definedName name="D_item_row">DefNAME!$B$56</definedName>
    <definedName name="D_key_row">DefNAME!$B$58</definedName>
    <definedName name="D_Quart_row">DefNAME!$B$59</definedName>
    <definedName name="D_TBLCDNM_col">DefNAME!$B$53</definedName>
    <definedName name="D_TBLCDNM_row">DefNAME!$B$54</definedName>
    <definedName name="D_type_row">DefNAME!$B$57</definedName>
    <definedName name="DB3file">DefNAME!$B$5</definedName>
    <definedName name="DDL_flag_col">DefNAME!$B$24</definedName>
    <definedName name="DDL_TS_col">DefNAME!$B$23</definedName>
    <definedName name="directory">DefNAME!$B$2</definedName>
    <definedName name="IDX_col">DefNAME!$B$48</definedName>
    <definedName name="IDX_max">DefNAME!$B$49</definedName>
    <definedName name="INCREASE_col">DefNAME!$B$17</definedName>
    <definedName name="INIT_col">DefNAME!$B$14</definedName>
    <definedName name="LEN_col">DefNAME!$B$42</definedName>
    <definedName name="LEN_row">DefNAME!$B$43</definedName>
    <definedName name="loaddatadir">DefNAME!$B$4</definedName>
    <definedName name="MAX_col">DefNAME!$B$16</definedName>
    <definedName name="MAX_flag_col">DefNAME!$B$25</definedName>
    <definedName name="NEXT_col">DefNAME!$B$15</definedName>
    <definedName name="NOTNULL_col">DefNAME!$B$45</definedName>
    <definedName name="PCTFREE_col">DefNAME!$B$18</definedName>
    <definedName name="PCTUSED_col">DefNAME!$B$19</definedName>
    <definedName name="PK_col">DefNAME!$B$46</definedName>
    <definedName name="PRIMARY_col">DefNAME!$B$44</definedName>
    <definedName name="RecLen_col">DefNAME!$B$10</definedName>
    <definedName name="RecPerBlock_col">DefNAME!$B$11</definedName>
    <definedName name="RecRows_col">DefNAME!$B$9</definedName>
    <definedName name="SEGMENT_col">DefNAME!$B$20</definedName>
    <definedName name="Size_col">DefNAME!$B$13</definedName>
    <definedName name="table_CD_col">DefNAME!$B$28</definedName>
    <definedName name="table_name_col">DefNAME!$B$33</definedName>
    <definedName name="table_name_row">DefNAME!$B$34</definedName>
    <definedName name="tablesheet_name_col">DefNAME!$B$8</definedName>
    <definedName name="tablespace_col">DefNAME!$B$21</definedName>
    <definedName name="tablespaceidx_col">DefNAME!$B$22</definedName>
    <definedName name="TBL_max">DefNAME!$B$30</definedName>
    <definedName name="TBL_row">DefNAME!$B$29</definedName>
    <definedName name="TBLCDNM_col">DefNAME!$B$35</definedName>
    <definedName name="TBLCDNM_row">DefNAME!$B$36</definedName>
    <definedName name="TTL_row">DefNAME!$B$37</definedName>
    <definedName name="TYP_col">DefNAME!$B$40</definedName>
    <definedName name="TYP_row">DefNAME!$B$41</definedName>
    <definedName name="uniq_row">DefNAME!$B$47</definedName>
  </definedNames>
  <calcPr calcId="125725" iterate="1"/>
</workbook>
</file>

<file path=xl/calcChain.xml><?xml version="1.0" encoding="utf-8"?>
<calcChain xmlns="http://schemas.openxmlformats.org/spreadsheetml/2006/main">
  <c r="E5" i="3"/>
  <c r="E58"/>
  <c r="E60"/>
  <c r="E61"/>
  <c r="E55"/>
  <c r="E37"/>
  <c r="E54"/>
  <c r="E53"/>
  <c r="E11"/>
  <c r="E56"/>
  <c r="E59"/>
  <c r="E57"/>
  <c r="E8"/>
  <c r="E9"/>
  <c r="E10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"/>
  <c r="E4"/>
  <c r="E50"/>
  <c r="E49"/>
  <c r="E48"/>
  <c r="E47"/>
  <c r="E46"/>
  <c r="E45"/>
  <c r="E44"/>
  <c r="E43"/>
  <c r="E42"/>
  <c r="E41"/>
  <c r="E40"/>
  <c r="E39"/>
  <c r="E38"/>
  <c r="E36"/>
  <c r="E35"/>
  <c r="E34"/>
  <c r="E33"/>
  <c r="E2"/>
</calcChain>
</file>

<file path=xl/comments1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本シートは、「データシートを準備する」マクロを実行し、テーブルレイアウトより挿入する
</t>
        </r>
      </text>
    </comment>
    <comment ref="A6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塗りつぶし:
　塗りからSELECTの検索項目
　塗りからINSERTの登録項目
</t>
        </r>
      </text>
    </comment>
    <comment ref="A9" authorId="0">
      <text>
        <r>
          <rPr>
            <b/>
            <sz val="9"/>
            <color indexed="81"/>
            <rFont val="ＭＳ Ｐゴシック"/>
            <family val="3"/>
            <charset val="128"/>
          </rPr>
          <t>塗りつぶし)
　塗りからSELECTの検索条件項目
　塗りからDELETEの検索条件項目
　塗りからUPDATEの検索条件項目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データを更新した場合は、DML(INSERT,SELECT,DELETE,UPDATE)を再作成すること
UPDATE文はデータセルの塗りつぶし有りを更新対象とする</t>
        </r>
      </text>
    </comment>
  </commentList>
</comments>
</file>

<file path=xl/sharedStrings.xml><?xml version="1.0" encoding="utf-8"?>
<sst xmlns="http://schemas.openxmlformats.org/spreadsheetml/2006/main" count="715" uniqueCount="239">
  <si>
    <t>No</t>
  </si>
  <si>
    <t>Mark</t>
  </si>
  <si>
    <t>No.</t>
  </si>
  <si>
    <t>項目</t>
  </si>
  <si>
    <t>カラム名</t>
  </si>
  <si>
    <t>TYPE</t>
  </si>
  <si>
    <t>桁数</t>
  </si>
  <si>
    <t>↓名前</t>
    <rPh sb="1" eb="3">
      <t>ナマエ</t>
    </rPh>
    <phoneticPr fontId="3"/>
  </si>
  <si>
    <t>↓設定値</t>
    <rPh sb="1" eb="4">
      <t>セッテイチ</t>
    </rPh>
    <phoneticPr fontId="3"/>
  </si>
  <si>
    <t>説明</t>
    <rPh sb="0" eb="2">
      <t>セツメイ</t>
    </rPh>
    <phoneticPr fontId="3"/>
  </si>
  <si>
    <t>↓名前を使った設定値参照</t>
    <rPh sb="1" eb="3">
      <t>ナマエ</t>
    </rPh>
    <rPh sb="4" eb="5">
      <t>ツカ</t>
    </rPh>
    <rPh sb="7" eb="10">
      <t>セッテイチ</t>
    </rPh>
    <rPh sb="10" eb="12">
      <t>サンショウ</t>
    </rPh>
    <phoneticPr fontId="3"/>
  </si>
  <si>
    <t>directory</t>
    <phoneticPr fontId="3"/>
  </si>
  <si>
    <t>ctldestdir</t>
    <phoneticPr fontId="3"/>
  </si>
  <si>
    <t>CTLファイル出力デレクトリ</t>
    <rPh sb="7" eb="9">
      <t>シュツリョク</t>
    </rPh>
    <phoneticPr fontId="3"/>
  </si>
  <si>
    <t>loaddatadir</t>
    <phoneticPr fontId="3"/>
  </si>
  <si>
    <t>Load Dataの置いてあるデイレクトリ</t>
    <rPh sb="10" eb="11">
      <t>オ</t>
    </rPh>
    <phoneticPr fontId="3"/>
  </si>
  <si>
    <t>-----    テーブル一覧シートのカラム位置</t>
    <phoneticPr fontId="3"/>
  </si>
  <si>
    <t>tablesheet_name_col</t>
    <phoneticPr fontId="3"/>
  </si>
  <si>
    <t>テーブルシート名</t>
    <phoneticPr fontId="3"/>
  </si>
  <si>
    <t>RecRows_col</t>
    <phoneticPr fontId="3"/>
  </si>
  <si>
    <t>ﾚｺｰﾄﾞ数</t>
  </si>
  <si>
    <t>RecLen_col</t>
    <phoneticPr fontId="3"/>
  </si>
  <si>
    <t>１ﾚｺｰﾄﾞ(B)</t>
  </si>
  <si>
    <t>RecPerBlock_col</t>
    <phoneticPr fontId="3"/>
  </si>
  <si>
    <t>ﾚｺｰﾄﾞ/ﾌﾞﾛｯｸ</t>
  </si>
  <si>
    <t>Bloks_col</t>
    <phoneticPr fontId="3"/>
  </si>
  <si>
    <t>使用ﾌﾞﾛｯｸ</t>
  </si>
  <si>
    <t>Size_col</t>
    <phoneticPr fontId="3"/>
  </si>
  <si>
    <t>合計(KB)</t>
  </si>
  <si>
    <t>INIT_col</t>
    <phoneticPr fontId="3"/>
  </si>
  <si>
    <t>INIT(K)</t>
  </si>
  <si>
    <t>NEXT_col</t>
    <phoneticPr fontId="3"/>
  </si>
  <si>
    <t>NEXT(K)</t>
  </si>
  <si>
    <t>MAX_col</t>
    <phoneticPr fontId="3"/>
  </si>
  <si>
    <t>MAX</t>
  </si>
  <si>
    <t>INCREASE_col</t>
    <phoneticPr fontId="3"/>
  </si>
  <si>
    <t>INCREASE</t>
  </si>
  <si>
    <t>PCTFREE_col</t>
    <phoneticPr fontId="3"/>
  </si>
  <si>
    <t>PCTFREE</t>
  </si>
  <si>
    <t>PCTUSED_col</t>
    <phoneticPr fontId="3"/>
  </si>
  <si>
    <t>PCTUSED</t>
  </si>
  <si>
    <t>SEGMENT_col</t>
    <phoneticPr fontId="3"/>
  </si>
  <si>
    <t>最大合計(KB)</t>
  </si>
  <si>
    <t>tablespace_col</t>
    <phoneticPr fontId="3"/>
  </si>
  <si>
    <t>表領域(DATA)</t>
  </si>
  <si>
    <t>tablespaceidx_col</t>
    <phoneticPr fontId="3"/>
  </si>
  <si>
    <t>表領域(INDEX)</t>
  </si>
  <si>
    <t>DDL_TS_col</t>
    <phoneticPr fontId="3"/>
  </si>
  <si>
    <t>DDL作成日付</t>
    <rPh sb="3" eb="5">
      <t>サクセイ</t>
    </rPh>
    <rPh sb="5" eb="7">
      <t>ヒヅケ</t>
    </rPh>
    <phoneticPr fontId="3"/>
  </si>
  <si>
    <t>DDL_flag_col</t>
    <phoneticPr fontId="3"/>
  </si>
  <si>
    <t>DDL新規</t>
    <rPh sb="3" eb="5">
      <t>シンキ</t>
    </rPh>
    <phoneticPr fontId="3"/>
  </si>
  <si>
    <t>MAX_flag_col</t>
    <phoneticPr fontId="3"/>
  </si>
  <si>
    <t>MAXフラグ</t>
    <phoneticPr fontId="3"/>
  </si>
  <si>
    <t>CTL_TS_col</t>
    <phoneticPr fontId="3"/>
  </si>
  <si>
    <t>CTL作成日付</t>
    <rPh sb="3" eb="5">
      <t>サクセイ</t>
    </rPh>
    <rPh sb="5" eb="7">
      <t>ヒヅケ</t>
    </rPh>
    <phoneticPr fontId="3"/>
  </si>
  <si>
    <t>CTL_flag_col</t>
    <phoneticPr fontId="3"/>
  </si>
  <si>
    <t>CTL新規</t>
    <rPh sb="3" eb="5">
      <t>シンキ</t>
    </rPh>
    <phoneticPr fontId="3"/>
  </si>
  <si>
    <t>table_CD_col</t>
    <phoneticPr fontId="3"/>
  </si>
  <si>
    <t>テーブル一覧上のコード名</t>
    <rPh sb="4" eb="6">
      <t>イチラン</t>
    </rPh>
    <rPh sb="6" eb="7">
      <t>ジョウ</t>
    </rPh>
    <phoneticPr fontId="3"/>
  </si>
  <si>
    <t>TBL_row</t>
    <phoneticPr fontId="3"/>
  </si>
  <si>
    <t>テーブル一覧の最初の行位置</t>
    <rPh sb="7" eb="9">
      <t>サイショ</t>
    </rPh>
    <rPh sb="10" eb="13">
      <t>ギョウイチ</t>
    </rPh>
    <phoneticPr fontId="3"/>
  </si>
  <si>
    <t>TBL_max</t>
    <phoneticPr fontId="3"/>
  </si>
  <si>
    <t>テーブル一覧のテーブル数</t>
    <rPh sb="4" eb="6">
      <t>イチラン</t>
    </rPh>
    <phoneticPr fontId="3"/>
  </si>
  <si>
    <t>-----    テーブル定義シートの位置</t>
    <rPh sb="13" eb="15">
      <t>テイギ</t>
    </rPh>
    <phoneticPr fontId="3"/>
  </si>
  <si>
    <t>table_name_col</t>
    <phoneticPr fontId="3"/>
  </si>
  <si>
    <t>テーブル名の列位置</t>
    <rPh sb="7" eb="9">
      <t>イチ</t>
    </rPh>
    <phoneticPr fontId="3"/>
  </si>
  <si>
    <t>table_name_row</t>
    <phoneticPr fontId="3"/>
  </si>
  <si>
    <t>テーブル名の行位置</t>
    <rPh sb="7" eb="9">
      <t>イチ</t>
    </rPh>
    <phoneticPr fontId="3"/>
  </si>
  <si>
    <t>TBLCDNM_col</t>
    <phoneticPr fontId="3"/>
  </si>
  <si>
    <t>テーブル名（コード名）の列位置</t>
    <phoneticPr fontId="3"/>
  </si>
  <si>
    <t>TBLCDNM_row</t>
    <phoneticPr fontId="3"/>
  </si>
  <si>
    <t>テーブル名（コード名）の行位置</t>
    <phoneticPr fontId="3"/>
  </si>
  <si>
    <t>COL_col</t>
    <phoneticPr fontId="3"/>
  </si>
  <si>
    <t>カラム名（フィールド名）の列位置</t>
    <phoneticPr fontId="3"/>
  </si>
  <si>
    <t>COL_row</t>
    <phoneticPr fontId="3"/>
  </si>
  <si>
    <t>カラム名（フィールド名）の最初の位置</t>
    <phoneticPr fontId="3"/>
  </si>
  <si>
    <t>TYP_col</t>
    <phoneticPr fontId="3"/>
  </si>
  <si>
    <t>データタイプの列位置</t>
    <phoneticPr fontId="3"/>
  </si>
  <si>
    <t>TYP_row</t>
    <phoneticPr fontId="3"/>
  </si>
  <si>
    <t>データタイプの最初の行位置</t>
    <phoneticPr fontId="3"/>
  </si>
  <si>
    <t>LEN_col</t>
    <phoneticPr fontId="3"/>
  </si>
  <si>
    <t>データ長の列位置</t>
    <phoneticPr fontId="3"/>
  </si>
  <si>
    <t>LEN_row</t>
    <phoneticPr fontId="3"/>
  </si>
  <si>
    <t>データ長の最初の行位置</t>
    <phoneticPr fontId="3"/>
  </si>
  <si>
    <t>PRIMARY_col</t>
    <phoneticPr fontId="3"/>
  </si>
  <si>
    <t>主キーの列位置</t>
    <rPh sb="0" eb="1">
      <t>シュ</t>
    </rPh>
    <rPh sb="4" eb="7">
      <t>レツイチ</t>
    </rPh>
    <phoneticPr fontId="3"/>
  </si>
  <si>
    <t>NOTNULL_col</t>
    <phoneticPr fontId="3"/>
  </si>
  <si>
    <t>Not Nullの列位置</t>
    <phoneticPr fontId="3"/>
  </si>
  <si>
    <t>PK_col</t>
    <phoneticPr fontId="3"/>
  </si>
  <si>
    <t>プライマリキーの列位置</t>
    <phoneticPr fontId="3"/>
  </si>
  <si>
    <t>uniq_row</t>
    <phoneticPr fontId="3"/>
  </si>
  <si>
    <t>インデックスのuniqフラグの行位置</t>
    <rPh sb="15" eb="16">
      <t>ギョウ</t>
    </rPh>
    <rPh sb="16" eb="18">
      <t>イチ</t>
    </rPh>
    <phoneticPr fontId="3"/>
  </si>
  <si>
    <t>IDX_col</t>
    <phoneticPr fontId="3"/>
  </si>
  <si>
    <t>インデックスの最初の列位置</t>
    <rPh sb="7" eb="9">
      <t>サイショ</t>
    </rPh>
    <rPh sb="11" eb="13">
      <t>イチ</t>
    </rPh>
    <phoneticPr fontId="3"/>
  </si>
  <si>
    <t>IDX_max</t>
    <phoneticPr fontId="3"/>
  </si>
  <si>
    <t>設定できるインデックス数</t>
    <rPh sb="11" eb="12">
      <t>スウ</t>
    </rPh>
    <phoneticPr fontId="3"/>
  </si>
  <si>
    <t>COL_max</t>
    <phoneticPr fontId="3"/>
  </si>
  <si>
    <t>設定できるテーブルのフィールド数(カラム数)</t>
    <phoneticPr fontId="3"/>
  </si>
  <si>
    <t>テーフルレイアウトを配置するフォルダ</t>
    <rPh sb="10" eb="12">
      <t>ハイチ</t>
    </rPh>
    <phoneticPr fontId="3"/>
  </si>
  <si>
    <t>日付</t>
  </si>
  <si>
    <t>口座</t>
  </si>
  <si>
    <t>大分類</t>
  </si>
  <si>
    <t>中分類</t>
  </si>
  <si>
    <t>小分類</t>
  </si>
  <si>
    <t>数量</t>
  </si>
  <si>
    <t>金額</t>
  </si>
  <si>
    <t>取引先</t>
  </si>
  <si>
    <t>備考</t>
  </si>
  <si>
    <t>周期</t>
  </si>
  <si>
    <t>INTEGER</t>
  </si>
  <si>
    <t>TEXT</t>
  </si>
  <si>
    <t>numeric</t>
  </si>
  <si>
    <t>主キー</t>
  </si>
  <si>
    <t>文字囲</t>
  </si>
  <si>
    <t>データ↓</t>
  </si>
  <si>
    <t>Y</t>
    <phoneticPr fontId="1"/>
  </si>
  <si>
    <t>コード名</t>
  </si>
  <si>
    <t>テーブル名称</t>
    <rPh sb="4" eb="6">
      <t>メイショウ</t>
    </rPh>
    <phoneticPr fontId="6"/>
  </si>
  <si>
    <t>支出</t>
    <rPh sb="0" eb="2">
      <t>シシュツ</t>
    </rPh>
    <phoneticPr fontId="6"/>
  </si>
  <si>
    <t>-----    テーブルデータシートの位置</t>
    <phoneticPr fontId="3"/>
  </si>
  <si>
    <t>文字囲の行位置</t>
    <rPh sb="0" eb="3">
      <t>モジカコイ</t>
    </rPh>
    <rPh sb="4" eb="7">
      <t>ギョウイチ</t>
    </rPh>
    <phoneticPr fontId="1"/>
  </si>
  <si>
    <t>TYPEの行位置</t>
    <rPh sb="5" eb="8">
      <t>ギョウイチ</t>
    </rPh>
    <phoneticPr fontId="1"/>
  </si>
  <si>
    <t>Y</t>
    <phoneticPr fontId="1"/>
  </si>
  <si>
    <t>D_TBLCDNM_col</t>
    <phoneticPr fontId="3"/>
  </si>
  <si>
    <t>D_TBLCDNM_row</t>
    <phoneticPr fontId="3"/>
  </si>
  <si>
    <t>D_type_row</t>
    <phoneticPr fontId="1"/>
  </si>
  <si>
    <t>D_Quart_row</t>
    <phoneticPr fontId="1"/>
  </si>
  <si>
    <t>TTL_row</t>
    <phoneticPr fontId="1"/>
  </si>
  <si>
    <t>タイトルの行位置</t>
    <rPh sb="5" eb="8">
      <t>ギョウイチ</t>
    </rPh>
    <phoneticPr fontId="1"/>
  </si>
  <si>
    <t>D_item_col</t>
    <phoneticPr fontId="1"/>
  </si>
  <si>
    <t>D_data_row</t>
    <phoneticPr fontId="1"/>
  </si>
  <si>
    <t>データの最初の行位置</t>
    <rPh sb="4" eb="6">
      <t>サイショ</t>
    </rPh>
    <rPh sb="7" eb="10">
      <t>ギョウイチ</t>
    </rPh>
    <phoneticPr fontId="1"/>
  </si>
  <si>
    <t>D_data_col</t>
    <phoneticPr fontId="1"/>
  </si>
  <si>
    <t>データの最初の桁位置</t>
    <rPh sb="4" eb="6">
      <t>サイショ</t>
    </rPh>
    <rPh sb="7" eb="8">
      <t>ケタ</t>
    </rPh>
    <rPh sb="8" eb="10">
      <t>イチ</t>
    </rPh>
    <phoneticPr fontId="1"/>
  </si>
  <si>
    <t>主キーの行位置</t>
    <rPh sb="0" eb="1">
      <t>シュ</t>
    </rPh>
    <rPh sb="4" eb="7">
      <t>ギョウイチ</t>
    </rPh>
    <phoneticPr fontId="1"/>
  </si>
  <si>
    <t>D_key_row</t>
    <phoneticPr fontId="1"/>
  </si>
  <si>
    <t>D_item_row</t>
    <phoneticPr fontId="1"/>
  </si>
  <si>
    <t>カラム名の最初の列位置</t>
    <rPh sb="3" eb="4">
      <t>メイ</t>
    </rPh>
    <rPh sb="5" eb="7">
      <t>サイショ</t>
    </rPh>
    <rPh sb="8" eb="11">
      <t>レツイチ</t>
    </rPh>
    <phoneticPr fontId="1"/>
  </si>
  <si>
    <t>カラム名の行位置</t>
    <rPh sb="3" eb="4">
      <t>メイ</t>
    </rPh>
    <rPh sb="5" eb="8">
      <t>ギョウイチ</t>
    </rPh>
    <phoneticPr fontId="1"/>
  </si>
  <si>
    <t>G:\CMD\家計簿DB3def</t>
    <rPh sb="7" eb="10">
      <t>カケイボ</t>
    </rPh>
    <phoneticPr fontId="3"/>
  </si>
  <si>
    <t>G:\CMD\家計簿DB3data</t>
    <rPh sb="7" eb="10">
      <t>カケイボ</t>
    </rPh>
    <phoneticPr fontId="3"/>
  </si>
  <si>
    <t>DB3file</t>
    <phoneticPr fontId="3"/>
  </si>
  <si>
    <t>家計簿.db3</t>
    <rPh sb="0" eb="3">
      <t>カケイボ</t>
    </rPh>
    <phoneticPr fontId="3"/>
  </si>
  <si>
    <t>SQLite Database file</t>
    <phoneticPr fontId="3"/>
  </si>
  <si>
    <t>日付年</t>
  </si>
  <si>
    <t>日付年月</t>
  </si>
  <si>
    <t>YY</t>
  </si>
  <si>
    <t>YM</t>
  </si>
  <si>
    <t>Y</t>
  </si>
  <si>
    <t>%おにぎり%</t>
    <phoneticPr fontId="1"/>
  </si>
  <si>
    <t>SELECT 大分類,  中分類,  小分類,  項目 FROM 支出 WHERE 小分類= '%おにぎり%' and  項目= '%おにぎり%';</t>
  </si>
  <si>
    <t>食費</t>
  </si>
  <si>
    <t>主食</t>
  </si>
  <si>
    <t>おにぎり</t>
  </si>
  <si>
    <t>おむすび</t>
    <phoneticPr fontId="1"/>
  </si>
  <si>
    <t>UPDATE 支出 SET 小分類= 'おむすび' WHERE 大分類= '食費' and  中分類= '主食' and  小分類= 'おにぎり';</t>
  </si>
  <si>
    <t>クーポン</t>
  </si>
  <si>
    <t>クーポン</t>
    <phoneticPr fontId="1"/>
  </si>
  <si>
    <t>DELETE  FROM 支出 WHERE 項目= 'クーポン';</t>
  </si>
  <si>
    <t>クレジット</t>
  </si>
  <si>
    <t>飲料</t>
  </si>
  <si>
    <t>コーヒー飲料</t>
  </si>
  <si>
    <t>MACHI アイスコーヒー S</t>
  </si>
  <si>
    <t>コンビニ</t>
  </si>
  <si>
    <t>菓子類</t>
  </si>
  <si>
    <t>クッキー</t>
  </si>
  <si>
    <t>ミニチョコチップクッキー</t>
  </si>
  <si>
    <t>現金</t>
  </si>
  <si>
    <t>設備費</t>
  </si>
  <si>
    <t>家庭用品</t>
  </si>
  <si>
    <t>スリッパ</t>
  </si>
  <si>
    <t>ワンコインシップ</t>
  </si>
  <si>
    <t>衛生用品</t>
  </si>
  <si>
    <t>油固形剤</t>
  </si>
  <si>
    <t>天ぷら油凝固剤</t>
  </si>
  <si>
    <t>税金等</t>
  </si>
  <si>
    <t>消費税</t>
  </si>
  <si>
    <t>交通系カード</t>
  </si>
  <si>
    <t>鶏ごぼうおむすび</t>
  </si>
  <si>
    <t>商店</t>
  </si>
  <si>
    <t>お茶</t>
  </si>
  <si>
    <t>緑茶 600ml</t>
  </si>
  <si>
    <t>2026-09-09</t>
  </si>
  <si>
    <t>おむすび</t>
    <phoneticPr fontId="1"/>
  </si>
  <si>
    <t>ホット 緑茶 600ml</t>
    <phoneticPr fontId="1"/>
  </si>
  <si>
    <t>SELECT No,  日付,  口座,  大分類,  中分類,  小分類,  項目,  数量,  金額,  取引先,  備考,  周期,  Mark,  YY,  YM FROM 支出 WHERE No= 1;</t>
  </si>
  <si>
    <t>SELECT No,  日付,  口座,  大分類,  中分類,  小分類,  項目,  数量,  金額,  取引先,  備考,  周期,  Mark,  YY,  YM FROM 支出 WHERE No= 2;</t>
  </si>
  <si>
    <t>SELECT No,  日付,  口座,  大分類,  中分類,  小分類,  項目,  数量,  金額,  取引先,  備考,  周期,  Mark,  YY,  YM FROM 支出 WHERE No= 3;</t>
  </si>
  <si>
    <t>SELECT No,  日付,  口座,  大分類,  中分類,  小分類,  項目,  数量,  金額,  取引先,  備考,  周期,  Mark,  YY,  YM FROM 支出 WHERE No= 4;</t>
  </si>
  <si>
    <t>SELECT No,  日付,  口座,  大分類,  中分類,  小分類,  項目,  数量,  金額,  取引先,  備考,  周期,  Mark,  YY,  YM FROM 支出 WHERE No= 5;</t>
  </si>
  <si>
    <t>SELECT No,  日付,  口座,  大分類,  中分類,  小分類,  項目,  数量,  金額,  取引先,  備考,  周期,  Mark,  YY,  YM FROM 支出 WHERE No= 6;</t>
  </si>
  <si>
    <t>SELECT No,  日付,  口座,  大分類,  中分類,  小分類,  項目,  数量,  金額,  取引先,  備考,  周期,  Mark,  YY,  YM FROM 支出 WHERE No= 7;</t>
  </si>
  <si>
    <t>SELECT No,  日付,  口座,  大分類,  中分類,  小分類,  項目,  数量,  金額,  取引先,  備考,  周期,  Mark,  YY,  YM FROM 支出 WHERE No= 8;</t>
  </si>
  <si>
    <t>SELECT No,  日付,  口座,  大分類,  中分類,  小分類,  項目,  数量,  金額,  取引先,  備考,  周期,  Mark,  YY,  YM FROM 支出 WHERE No= 9;</t>
  </si>
  <si>
    <t>SELECT No,  日付,  口座,  大分類,  中分類,  小分類,  項目,  数量,  金額,  取引先,  備考,  周期,  Mark,  YY,  YM FROM 支出 WHERE No= 10;</t>
  </si>
  <si>
    <t>SELECT No,  日付,  口座,  大分類,  中分類,  小分類,  項目,  数量,  金額,  取引先,  備考,  周期,  Mark,  YY,  YM FROM 支出 WHERE No= 11;</t>
  </si>
  <si>
    <t>INSERT INTO 支出 ( No, 日付, 口座, 大分類, 中分類, 小分類, 項目, 数量, 金額, 取引先, 備考, 周期, Mark, YY, YM ) VALUES ( 1, '2026-09-09', 'クレジット', '食費', '飲料', 'コーヒー飲料', 'MACHI アイスコーヒー S', 1, 160, 'コンビニ', '', '', '', 2026, 202609);</t>
  </si>
  <si>
    <t>INSERT INTO 支出 ( No, 日付, 口座, 大分類, 中分類, 小分類, 項目, 数量, 金額, 取引先, 備考, 周期, Mark, YY, YM ) VALUES ( 2, '2026-09-09', 'クレジット', '食費', '飲料', 'コーヒー飲料', 'クーポン', 1, -160, 'コンビニ', '', '', '', 2026, 202609);</t>
  </si>
  <si>
    <t>INSERT INTO 支出 ( No, 日付, 口座, 大分類, 中分類, 小分類, 項目, 数量, 金額, 取引先, 備考, 周期, Mark, YY, YM ) VALUES ( 3, '2026-09-09', 'クレジット', '食費', '菓子類', 'クッキー', 'ミニチョコチップクッキー', 1, 158, 'コンビニ', '', '', '', 2026, 202609);</t>
  </si>
  <si>
    <t>INSERT INTO 支出 ( No, 日付, 口座, 大分類, 中分類, 小分類, 項目, 数量, 金額, 取引先, 備考, 周期, Mark, YY, YM ) VALUES ( 4, '2026-09-09', '現金', '設備費', '家庭用品', 'スリッパ', 'スリッパ', 1, 100, 'ワンコイン', '', '', '', 2026, 202609);</t>
  </si>
  <si>
    <t>INSERT INTO 支出 ( No, 日付, 口座, 大分類, 中分類, 小分類, 項目, 数量, 金額, 取引先, 備考, 周期, Mark, YY, YM ) VALUES ( 5, '2026-09-09', '現金', '設備費', '家庭用品', 'スリッパ', 'スリッパ', 2, 200, 'ワンコイン', '', '', '', 2026, 202609);</t>
  </si>
  <si>
    <t>INSERT INTO 支出 ( No, 日付, 口座, 大分類, 中分類, 小分類, 項目, 数量, 金額, 取引先, 備考, 周期, Mark, YY, YM ) VALUES ( 6, '2026-09-09', '現金', '設備費', '衛生用品', '油固形剤', '天ぷら油凝固剤', 1, 100, 'ワンコイン', '', '', '', 2026, 202609);</t>
  </si>
  <si>
    <t>INSERT INTO 支出 ( No, 日付, 口座, 大分類, 中分類, 小分類, 項目, 数量, 金額, 取引先, 備考, 周期, Mark, YY, YM ) VALUES ( 7, '2026-09-09', '現金', '設備費', '税金等', '税金等', '消費税', 1, 40, 'ワンコイン', '', '', '', 2026, 202609);</t>
  </si>
  <si>
    <t>INSERT INTO 支出 ( No, 日付, 口座, 大分類, 中分類, 小分類, 項目, 数量, 金額, 取引先, 備考, 周期, Mark, YY, YM ) VALUES ( 8, '2026-09-09', '交通系カード', '食費', '主食', 'おむすび', '鶏ごぼうおこわ', 1, 148, '商店', '', '', '', 2026, 202609);</t>
  </si>
  <si>
    <t>INSERT INTO 支出 ( No, 日付, 口座, 大分類, 中分類, 小分類, 項目, 数量, 金額, 取引先, 備考, 周期, Mark, YY, YM ) VALUES ( 9, '2026-09-09', '交通系カード', '食費', '主食', 'おむすび', 'クーポン', 1, -30, '商店', '', '', '', 2026, 202609);</t>
  </si>
  <si>
    <t>INSERT INTO 支出 ( No, 日付, 口座, 大分類, 中分類, 小分類, 項目, 数量, 金額, 取引先, 備考, 周期, Mark, YY, YM ) VALUES ( 10, '2026-09-09', '交通系カード', '食費', '飲料', 'お茶', 'ホット 緑茶 600ml', 1, 108, '商店', '', '', '', 2026, 202609);</t>
  </si>
  <si>
    <t>INSERT INTO 支出 ( No, 日付, 口座, 大分類, 中分類, 小分類, 項目, 数量, 金額, 取引先, 備考, 周期, Mark, YY, YM ) VALUES ( 11, '2026-09-09', '交通系カード', '食費', '税金等', '税金等', '消費税', 1, 18, '商店', '', '', '', 2026, 202609);</t>
  </si>
  <si>
    <t>DELETE FROM 支出 WHERE No= 1;</t>
  </si>
  <si>
    <t>DELETE FROM 支出 WHERE No= 2;</t>
  </si>
  <si>
    <t>DELETE FROM 支出 WHERE No= 3;</t>
  </si>
  <si>
    <t>DELETE FROM 支出 WHERE No= 4;</t>
  </si>
  <si>
    <t>DELETE FROM 支出 WHERE No= 5;</t>
  </si>
  <si>
    <t>DELETE FROM 支出 WHERE No= 6;</t>
  </si>
  <si>
    <t>DELETE FROM 支出 WHERE No= 7;</t>
  </si>
  <si>
    <t>DELETE FROM 支出 WHERE No= 8;</t>
  </si>
  <si>
    <t>DELETE FROM 支出 WHERE No= 9;</t>
  </si>
  <si>
    <t>DELETE FROM 支出 WHERE No= 10;</t>
  </si>
  <si>
    <t>DELETE FROM 支出 WHERE No= 11;</t>
  </si>
  <si>
    <t>UPDATE 支出 SET 小分類= 'おむすび' WHERE No= 9;</t>
  </si>
  <si>
    <t>UPDATE 支出 SET 項目= 'ホット 緑茶 600ml' WHERE No= 10;</t>
  </si>
  <si>
    <t>鶏ごぼう おむすび</t>
    <phoneticPr fontId="1"/>
  </si>
  <si>
    <t>コインショップ</t>
    <phoneticPr fontId="1"/>
  </si>
  <si>
    <t>UPDATE 支出 SET 取引先= 'コインショップ' WHERE No= 4;</t>
  </si>
  <si>
    <t>UPDATE 支出 SET 取引先= 'コインショップ' WHERE No= 5;</t>
  </si>
  <si>
    <t>UPDATE 支出 SET 取引先= 'コインショップ' WHERE No= 6;</t>
  </si>
  <si>
    <t>UPDATE 支出 SET 取引先= 'コインショップ' WHERE No= 7;</t>
  </si>
  <si>
    <t>UPDATE 支出 SET 小分類= 'おむすび',  項目= '鶏ごぼう おむすび' WHERE No= 8;</t>
  </si>
  <si>
    <t>SELECT 大分類,  中分類,  小分類,  数量,  金額,  YM FROM 支出;</t>
    <phoneticPr fontId="1"/>
  </si>
  <si>
    <t>INSERT INTO 支出 ( No, 日付, 口座, 大分類, 中分類, 小分類, 項目, 数量, 金額, 取引先 ) VALUES ( 1, '2026-09-09', 'クレジット', '食費', '飲料', 'コーヒー飲料', 'MACHI アイスコーヒー S', 1, 160, 'コンビニ');</t>
  </si>
  <si>
    <t>INSERT INTO 支出 ( No, 日付, 口座, 大分類, 中分類, 小分類, 項目, 数量, 金額, 取引先 ) VALUES ( 2, '2026-09-09', 'クレジット', '食費', '飲料', 'コーヒー飲料', 'クーポン', 1, -160, 'コンビニ');</t>
  </si>
  <si>
    <t>INSERT INTO 支出 ( No, 日付, 口座, 大分類, 中分類, 小分類, 項目, 数量, 金額, 取引先 ) VALUES ( 3, '2026-09-09', 'クレジット', '食費', '菓子類', 'クッキー', 'ミニチョコチップクッキー', 1, 158, 'コンビニ');</t>
  </si>
  <si>
    <t>INSERT INTO 支出 ( No, 日付, 口座, 大分類, 中分類, 小分類, 項目, 数量, 金額, 取引先 ) VALUES ( 4, '2026-09-09', '現金', '設備費', '家庭用品', 'スリッパ', 'スリッパ', 1, 100, 'ワンコインシップ');</t>
  </si>
  <si>
    <t>INSERT INTO 支出 ( No, 日付, 口座, 大分類, 中分類, 小分類, 項目, 数量, 金額, 取引先 ) VALUES ( 5, '2026-09-09', '現金', '設備費', '家庭用品', 'スリッパ', 'スリッパ', 2, 200, 'ワンコインシップ');</t>
  </si>
  <si>
    <t>INSERT INTO 支出 ( No, 日付, 口座, 大分類, 中分類, 小分類, 項目, 数量, 金額, 取引先 ) VALUES ( 6, '2026-09-09', '現金', '設備費', '衛生用品', '油固形剤', '天ぷら油凝固剤', 1, 100, 'ワンコインシップ');</t>
  </si>
  <si>
    <t>INSERT INTO 支出 ( No, 日付, 口座, 大分類, 中分類, 小分類, 項目, 数量, 金額, 取引先 ) VALUES ( 7, '2026-09-09', '現金', '設備費', '税金等', '税金等', '消費税', 1, 40, 'ワンコインシップ');</t>
  </si>
  <si>
    <t>INSERT INTO 支出 ( No, 日付, 口座, 大分類, 中分類, 小分類, 項目, 数量, 金額, 取引先 ) VALUES ( 8, '2026-09-09', '交通系カード', '食費', '主食', 'おにぎり', '鶏ごぼうおむすび', 1, 148, '商店');</t>
  </si>
  <si>
    <t>INSERT INTO 支出 ( No, 日付, 口座, 大分類, 中分類, 小分類, 項目, 数量, 金額, 取引先 ) VALUES ( 9, '2026-09-09', '交通系カード', '食費', '主食', 'おにぎり', 'クーポン', 1, -30, '商店');</t>
  </si>
  <si>
    <t>INSERT INTO 支出 ( No, 日付, 口座, 大分類, 中分類, 小分類, 項目, 数量, 金額, 取引先 ) VALUES ( 10, '2026-09-09', '交通系カード', '食費', '飲料', 'お茶', '緑茶 600ml', 1, 108, '商店');</t>
  </si>
  <si>
    <t>INSERT INTO 支出 ( No, 日付, 口座, 大分類, 中分類, 小分類, 項目, 数量, 金額, 取引先 ) VALUES ( 11, '2026-09-09', '交通系カード', '食費', '税金等', '税金等', '消費税', 1, 18, '商店');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</si>
</sst>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0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ゴシック"/>
      <family val="3"/>
      <charset val="128"/>
    </font>
    <font>
      <sz val="1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rgb="FF000000"/>
      <name val="Courier New"/>
      <family val="3"/>
    </font>
    <font>
      <sz val="10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</cellStyleXfs>
  <cellXfs count="39">
    <xf numFmtId="0" fontId="0" fillId="0" borderId="0" xfId="0"/>
    <xf numFmtId="0" fontId="2" fillId="2" borderId="0" xfId="1" applyFill="1"/>
    <xf numFmtId="0" fontId="2" fillId="2" borderId="0" xfId="1" applyFill="1" applyProtection="1">
      <protection locked="0"/>
    </xf>
    <xf numFmtId="0" fontId="2" fillId="0" borderId="0" xfId="1"/>
    <xf numFmtId="0" fontId="4" fillId="0" borderId="0" xfId="2" applyAlignment="1" applyProtection="1">
      <protection locked="0"/>
    </xf>
    <xf numFmtId="0" fontId="2" fillId="0" borderId="0" xfId="1" applyProtection="1">
      <protection locked="0"/>
    </xf>
    <xf numFmtId="0" fontId="2" fillId="0" borderId="0" xfId="1" quotePrefix="1"/>
    <xf numFmtId="176" fontId="2" fillId="0" borderId="0" xfId="1" applyNumberFormat="1" applyProtection="1">
      <protection locked="0"/>
    </xf>
    <xf numFmtId="176" fontId="2" fillId="0" borderId="0" xfId="1" applyNumberFormat="1" applyAlignment="1" applyProtection="1">
      <alignment horizontal="right"/>
      <protection locked="0"/>
    </xf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7" xfId="0" applyBorder="1"/>
    <xf numFmtId="0" fontId="2" fillId="0" borderId="0" xfId="3" applyFont="1" applyBorder="1"/>
    <xf numFmtId="0" fontId="5" fillId="0" borderId="6" xfId="4" applyFont="1" applyBorder="1"/>
    <xf numFmtId="0" fontId="2" fillId="0" borderId="0" xfId="0" applyFont="1"/>
    <xf numFmtId="0" fontId="0" fillId="0" borderId="6" xfId="3" applyFont="1" applyFill="1" applyBorder="1"/>
    <xf numFmtId="0" fontId="2" fillId="0" borderId="0" xfId="3" applyFont="1" applyFill="1"/>
    <xf numFmtId="176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4" borderId="0" xfId="0" applyFill="1"/>
    <xf numFmtId="0" fontId="0" fillId="0" borderId="2" xfId="0" applyFill="1" applyBorder="1"/>
    <xf numFmtId="0" fontId="0" fillId="0" borderId="5" xfId="0" applyFill="1" applyBorder="1"/>
    <xf numFmtId="0" fontId="0" fillId="5" borderId="5" xfId="0" applyFill="1" applyBorder="1"/>
    <xf numFmtId="0" fontId="0" fillId="5" borderId="2" xfId="0" applyFill="1" applyBorder="1"/>
    <xf numFmtId="0" fontId="0" fillId="0" borderId="8" xfId="0" applyFill="1" applyBorder="1"/>
    <xf numFmtId="0" fontId="0" fillId="0" borderId="0" xfId="0" applyBorder="1"/>
    <xf numFmtId="0" fontId="0" fillId="6" borderId="2" xfId="0" applyFill="1" applyBorder="1"/>
    <xf numFmtId="0" fontId="0" fillId="0" borderId="3" xfId="0" applyFill="1" applyBorder="1"/>
    <xf numFmtId="0" fontId="0" fillId="7" borderId="2" xfId="0" applyFill="1" applyBorder="1"/>
    <xf numFmtId="0" fontId="8" fillId="0" borderId="9" xfId="0" applyFont="1" applyFill="1" applyBorder="1" applyAlignment="1">
      <alignment wrapText="1"/>
    </xf>
    <xf numFmtId="0" fontId="9" fillId="4" borderId="9" xfId="0" applyFont="1" applyFill="1" applyBorder="1" applyAlignment="1">
      <alignment wrapText="1"/>
    </xf>
    <xf numFmtId="49" fontId="0" fillId="0" borderId="0" xfId="0" applyNumberFormat="1"/>
    <xf numFmtId="0" fontId="0" fillId="8" borderId="5" xfId="0" applyFill="1" applyBorder="1"/>
  </cellXfs>
  <cellStyles count="5">
    <cellStyle name="ハイパーリンク" xfId="2" builtinId="8"/>
    <cellStyle name="標準" xfId="0" builtinId="0"/>
    <cellStyle name="標準 2" xfId="1"/>
    <cellStyle name="標準_基本項目" xfId="3"/>
    <cellStyle name="標準_人給A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14</xdr:row>
      <xdr:rowOff>38100</xdr:rowOff>
    </xdr:from>
    <xdr:to>
      <xdr:col>14</xdr:col>
      <xdr:colOff>95250</xdr:colOff>
      <xdr:row>22</xdr:row>
      <xdr:rowOff>104775</xdr:rowOff>
    </xdr:to>
    <xdr:sp macro="" textlink="">
      <xdr:nvSpPr>
        <xdr:cNvPr id="2" name="テキスト ボックス 1"/>
        <xdr:cNvSpPr txBox="1"/>
      </xdr:nvSpPr>
      <xdr:spPr>
        <a:xfrm>
          <a:off x="1495425" y="2438400"/>
          <a:ext cx="8201025" cy="1438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塗りから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文を生成する マクロで生成した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SQL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を編集する</a:t>
          </a:r>
          <a:endParaRPr lang="en-US" altLang="ja-JP" sz="11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SELECT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項目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支出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= '%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おにぎり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%' and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項目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= '%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おにぎり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%';</a:t>
          </a:r>
          <a:r>
            <a:rPr lang="ja-JP" altLang="en-US"/>
            <a:t> </a:t>
          </a:r>
          <a:endParaRPr lang="en-US" altLang="ja-JP"/>
        </a:p>
        <a:p>
          <a:r>
            <a:rPr kumimoji="1" lang="ja-JP" altLang="en-US" sz="1100"/>
            <a:t>↓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SELECT DISTINCT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項目 </a:t>
          </a:r>
          <a:endParaRPr lang="en-US" altLang="ja-JP" sz="11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FROM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支出 </a:t>
          </a:r>
          <a:endParaRPr lang="en-US" altLang="ja-JP" sz="11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WHERE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like '%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おにぎり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%' or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項目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like '%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おにぎり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%';</a:t>
          </a: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14</xdr:row>
      <xdr:rowOff>85724</xdr:rowOff>
    </xdr:from>
    <xdr:to>
      <xdr:col>15</xdr:col>
      <xdr:colOff>409575</xdr:colOff>
      <xdr:row>34</xdr:row>
      <xdr:rowOff>152399</xdr:rowOff>
    </xdr:to>
    <xdr:sp macro="" textlink="">
      <xdr:nvSpPr>
        <xdr:cNvPr id="2" name="テキスト ボックス 1"/>
        <xdr:cNvSpPr txBox="1"/>
      </xdr:nvSpPr>
      <xdr:spPr>
        <a:xfrm>
          <a:off x="1333500" y="2486024"/>
          <a:ext cx="9363075" cy="3495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塗りから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ja-JP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文を生成する マクロで生成した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SQL</a:t>
          </a:r>
          <a:r>
            <a:rPr lang="ja-JP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を編集する</a:t>
          </a:r>
          <a:endParaRPr lang="ja-JP" altLang="en-US" sz="11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SELECT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 YM FROM </a:t>
          </a:r>
          <a:r>
            <a:rPr lang="ja-JP" altLang="en-US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支出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r>
            <a:rPr kumimoji="1" lang="ja-JP" altLang="en-US" sz="1100"/>
            <a:t>↓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SELECT YM,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小分類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支出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group by YM,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小分類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↓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SELECT YM,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中分類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支出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group by YM,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中分類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↓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SELECT YM,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  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数量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,  sum(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) as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金額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支出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group by YM,</a:t>
          </a:r>
          <a:r>
            <a:rPr lang="ja-JP" alt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大分類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endParaRPr kumimoji="1" lang="ja-JP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kumimoji="1" lang="ja-JP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S11"/>
  <sheetViews>
    <sheetView tabSelected="1" workbookViewId="0">
      <selection activeCell="S11" sqref="S11"/>
    </sheetView>
  </sheetViews>
  <sheetFormatPr defaultRowHeight="13.5"/>
  <sheetData>
    <row r="1" spans="1:19">
      <c r="A1" s="18"/>
      <c r="B1" s="18" t="s">
        <v>117</v>
      </c>
      <c r="C1" s="19" t="s">
        <v>118</v>
      </c>
    </row>
    <row r="2" spans="1:19">
      <c r="A2" s="18"/>
      <c r="B2" s="18" t="s">
        <v>116</v>
      </c>
      <c r="C2" s="21" t="s">
        <v>118</v>
      </c>
    </row>
    <row r="3" spans="1:19">
      <c r="A3" s="22"/>
      <c r="B3" s="20"/>
      <c r="C3" s="20"/>
    </row>
    <row r="4" spans="1:19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19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144</v>
      </c>
      <c r="P5" s="12" t="s">
        <v>145</v>
      </c>
    </row>
    <row r="6" spans="1:19">
      <c r="A6" s="15" t="s">
        <v>4</v>
      </c>
      <c r="B6" s="10" t="s">
        <v>0</v>
      </c>
      <c r="C6" s="12" t="s">
        <v>99</v>
      </c>
      <c r="D6" s="12" t="s">
        <v>100</v>
      </c>
      <c r="E6" s="29" t="s">
        <v>101</v>
      </c>
      <c r="F6" s="29" t="s">
        <v>102</v>
      </c>
      <c r="G6" s="29" t="s">
        <v>103</v>
      </c>
      <c r="H6" s="29" t="s">
        <v>3</v>
      </c>
      <c r="I6" s="12" t="s">
        <v>104</v>
      </c>
      <c r="J6" s="12" t="s">
        <v>105</v>
      </c>
      <c r="K6" s="12" t="s">
        <v>106</v>
      </c>
      <c r="L6" s="12" t="s">
        <v>107</v>
      </c>
      <c r="M6" s="12" t="s">
        <v>108</v>
      </c>
      <c r="N6" s="12" t="s">
        <v>1</v>
      </c>
      <c r="O6" s="12" t="s">
        <v>146</v>
      </c>
      <c r="P6" s="12" t="s">
        <v>147</v>
      </c>
    </row>
    <row r="7" spans="1:19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19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19">
      <c r="A9" s="15" t="s">
        <v>112</v>
      </c>
      <c r="B9" s="27" t="s">
        <v>148</v>
      </c>
      <c r="C9" s="12"/>
      <c r="D9" s="12"/>
      <c r="E9" s="12"/>
      <c r="F9" s="12"/>
      <c r="G9" s="34"/>
      <c r="H9" s="34"/>
      <c r="I9" s="12"/>
      <c r="J9" s="12"/>
      <c r="K9" s="12"/>
      <c r="L9" s="12"/>
      <c r="M9" s="12"/>
      <c r="N9" s="12"/>
      <c r="O9" s="12"/>
      <c r="P9" s="12"/>
    </row>
    <row r="10" spans="1:19">
      <c r="A10" s="16" t="s">
        <v>113</v>
      </c>
      <c r="B10" s="17"/>
      <c r="C10" s="13" t="s">
        <v>148</v>
      </c>
      <c r="D10" s="13" t="s">
        <v>148</v>
      </c>
      <c r="E10" s="13" t="s">
        <v>148</v>
      </c>
      <c r="F10" s="13" t="s">
        <v>148</v>
      </c>
      <c r="G10" s="33" t="s">
        <v>148</v>
      </c>
      <c r="H10" s="33" t="s">
        <v>148</v>
      </c>
      <c r="I10" s="13"/>
      <c r="J10" s="13"/>
      <c r="K10" s="13" t="s">
        <v>148</v>
      </c>
      <c r="L10" s="13" t="s">
        <v>148</v>
      </c>
      <c r="M10" s="13" t="s">
        <v>148</v>
      </c>
      <c r="N10" s="13" t="s">
        <v>148</v>
      </c>
      <c r="O10" s="13"/>
      <c r="P10" s="13"/>
    </row>
    <row r="11" spans="1:19">
      <c r="A11" t="s">
        <v>114</v>
      </c>
      <c r="G11" t="s">
        <v>149</v>
      </c>
      <c r="H11" t="s">
        <v>149</v>
      </c>
      <c r="S11" t="s">
        <v>150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2"/>
  <sheetViews>
    <sheetView workbookViewId="0">
      <selection activeCell="M11" sqref="M11"/>
    </sheetView>
  </sheetViews>
  <sheetFormatPr defaultRowHeight="13.5"/>
  <sheetData>
    <row r="1" spans="1:13">
      <c r="A1" s="18"/>
      <c r="B1" s="18" t="s">
        <v>117</v>
      </c>
      <c r="C1" s="19" t="s">
        <v>118</v>
      </c>
    </row>
    <row r="2" spans="1:13">
      <c r="A2" s="18"/>
      <c r="B2" s="18" t="s">
        <v>116</v>
      </c>
      <c r="C2" s="21" t="s">
        <v>118</v>
      </c>
    </row>
    <row r="3" spans="1:13">
      <c r="A3" s="22"/>
      <c r="B3" s="20"/>
      <c r="C3" s="20"/>
    </row>
    <row r="4" spans="1:13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6</v>
      </c>
    </row>
    <row r="5" spans="1:13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103</v>
      </c>
    </row>
    <row r="6" spans="1:13">
      <c r="A6" s="15" t="s">
        <v>4</v>
      </c>
      <c r="B6" s="10" t="s">
        <v>0</v>
      </c>
      <c r="C6" s="12" t="s">
        <v>99</v>
      </c>
      <c r="D6" s="12" t="s">
        <v>100</v>
      </c>
      <c r="E6" s="12" t="s">
        <v>101</v>
      </c>
      <c r="F6" s="12" t="s">
        <v>102</v>
      </c>
      <c r="G6" s="12" t="s">
        <v>103</v>
      </c>
      <c r="H6" s="12" t="s">
        <v>103</v>
      </c>
    </row>
    <row r="7" spans="1:13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</row>
    <row r="8" spans="1:13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30</v>
      </c>
    </row>
    <row r="9" spans="1:13">
      <c r="A9" s="15" t="s">
        <v>112</v>
      </c>
      <c r="B9" s="10" t="s">
        <v>148</v>
      </c>
      <c r="C9" s="12"/>
      <c r="D9" s="12"/>
      <c r="E9" s="32"/>
      <c r="F9" s="32"/>
      <c r="G9" s="32"/>
      <c r="H9" s="26"/>
    </row>
    <row r="10" spans="1:13">
      <c r="A10" s="16" t="s">
        <v>113</v>
      </c>
      <c r="B10" s="17"/>
      <c r="C10" s="13" t="s">
        <v>148</v>
      </c>
      <c r="D10" s="13" t="s">
        <v>148</v>
      </c>
      <c r="E10" s="13" t="s">
        <v>148</v>
      </c>
      <c r="F10" s="13" t="s">
        <v>148</v>
      </c>
      <c r="G10" s="13" t="s">
        <v>148</v>
      </c>
      <c r="H10" s="13" t="s">
        <v>148</v>
      </c>
    </row>
    <row r="11" spans="1:13" ht="15">
      <c r="A11" t="s">
        <v>114</v>
      </c>
      <c r="D11" s="31"/>
      <c r="E11" s="35" t="s">
        <v>151</v>
      </c>
      <c r="F11" s="35" t="s">
        <v>152</v>
      </c>
      <c r="G11" s="35" t="s">
        <v>153</v>
      </c>
      <c r="H11" s="36" t="s">
        <v>154</v>
      </c>
      <c r="I11" s="31"/>
      <c r="M11" t="s">
        <v>155</v>
      </c>
    </row>
    <row r="12" spans="1:13">
      <c r="D12" s="31"/>
      <c r="E12" s="31"/>
      <c r="F12" s="31"/>
      <c r="G12" s="31"/>
      <c r="H12" s="31"/>
      <c r="I12" s="3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T11"/>
  <sheetViews>
    <sheetView workbookViewId="0">
      <selection activeCell="T11" sqref="T11"/>
    </sheetView>
  </sheetViews>
  <sheetFormatPr defaultRowHeight="13.5"/>
  <sheetData>
    <row r="1" spans="1:20">
      <c r="A1" s="18"/>
      <c r="B1" s="18" t="s">
        <v>117</v>
      </c>
      <c r="C1" s="19" t="s">
        <v>118</v>
      </c>
    </row>
    <row r="2" spans="1:20">
      <c r="A2" s="18"/>
      <c r="B2" s="18" t="s">
        <v>116</v>
      </c>
      <c r="C2" s="21" t="s">
        <v>118</v>
      </c>
    </row>
    <row r="3" spans="1:20">
      <c r="A3" s="22"/>
      <c r="B3" s="20"/>
      <c r="C3" s="20"/>
    </row>
    <row r="4" spans="1:20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20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144</v>
      </c>
      <c r="P5" s="12" t="s">
        <v>145</v>
      </c>
    </row>
    <row r="6" spans="1:20">
      <c r="A6" s="15" t="s">
        <v>4</v>
      </c>
      <c r="B6" s="10" t="s">
        <v>0</v>
      </c>
      <c r="C6" s="12" t="s">
        <v>99</v>
      </c>
      <c r="D6" s="12" t="s">
        <v>100</v>
      </c>
      <c r="E6" s="12" t="s">
        <v>101</v>
      </c>
      <c r="F6" s="12" t="s">
        <v>102</v>
      </c>
      <c r="G6" s="12" t="s">
        <v>103</v>
      </c>
      <c r="H6" s="12" t="s">
        <v>3</v>
      </c>
      <c r="I6" s="12" t="s">
        <v>104</v>
      </c>
      <c r="J6" s="12" t="s">
        <v>105</v>
      </c>
      <c r="K6" s="12" t="s">
        <v>106</v>
      </c>
      <c r="L6" s="12" t="s">
        <v>107</v>
      </c>
      <c r="M6" s="12" t="s">
        <v>108</v>
      </c>
      <c r="N6" s="12" t="s">
        <v>1</v>
      </c>
      <c r="O6" s="12" t="s">
        <v>146</v>
      </c>
      <c r="P6" s="12" t="s">
        <v>147</v>
      </c>
    </row>
    <row r="7" spans="1:20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20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20">
      <c r="A9" s="15" t="s">
        <v>112</v>
      </c>
      <c r="B9" s="10" t="s">
        <v>148</v>
      </c>
      <c r="C9" s="12"/>
      <c r="D9" s="12"/>
      <c r="E9" s="12"/>
      <c r="F9" s="12"/>
      <c r="G9" s="12"/>
      <c r="H9" s="34"/>
      <c r="I9" s="12"/>
      <c r="J9" s="12"/>
      <c r="K9" s="12"/>
      <c r="L9" s="12"/>
      <c r="M9" s="12"/>
      <c r="N9" s="12"/>
      <c r="O9" s="12"/>
      <c r="P9" s="12"/>
    </row>
    <row r="10" spans="1:20">
      <c r="A10" s="16" t="s">
        <v>113</v>
      </c>
      <c r="B10" s="17"/>
      <c r="C10" s="13" t="s">
        <v>148</v>
      </c>
      <c r="D10" s="13" t="s">
        <v>148</v>
      </c>
      <c r="E10" s="13" t="s">
        <v>148</v>
      </c>
      <c r="F10" s="13" t="s">
        <v>148</v>
      </c>
      <c r="G10" s="13" t="s">
        <v>148</v>
      </c>
      <c r="H10" s="13" t="s">
        <v>148</v>
      </c>
      <c r="I10" s="13"/>
      <c r="J10" s="13"/>
      <c r="K10" s="13" t="s">
        <v>148</v>
      </c>
      <c r="L10" s="13" t="s">
        <v>148</v>
      </c>
      <c r="M10" s="13" t="s">
        <v>148</v>
      </c>
      <c r="N10" s="13" t="s">
        <v>148</v>
      </c>
      <c r="O10" s="13"/>
      <c r="P10" s="13"/>
    </row>
    <row r="11" spans="1:20">
      <c r="A11" t="s">
        <v>114</v>
      </c>
      <c r="H11" s="30" t="s">
        <v>157</v>
      </c>
      <c r="T11" t="s">
        <v>158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S11"/>
  <sheetViews>
    <sheetView workbookViewId="0"/>
  </sheetViews>
  <sheetFormatPr defaultRowHeight="13.5"/>
  <sheetData>
    <row r="1" spans="1:19">
      <c r="A1" s="18"/>
      <c r="B1" s="18" t="s">
        <v>117</v>
      </c>
      <c r="C1" s="19" t="s">
        <v>118</v>
      </c>
    </row>
    <row r="2" spans="1:19">
      <c r="A2" s="18"/>
      <c r="B2" s="18" t="s">
        <v>116</v>
      </c>
      <c r="C2" s="21" t="s">
        <v>118</v>
      </c>
    </row>
    <row r="3" spans="1:19">
      <c r="A3" s="22"/>
      <c r="B3" s="20"/>
      <c r="C3" s="20"/>
    </row>
    <row r="4" spans="1:19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19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144</v>
      </c>
      <c r="P5" s="12" t="s">
        <v>145</v>
      </c>
    </row>
    <row r="6" spans="1:19">
      <c r="A6" s="15" t="s">
        <v>4</v>
      </c>
      <c r="B6" s="10" t="s">
        <v>0</v>
      </c>
      <c r="C6" s="12" t="s">
        <v>99</v>
      </c>
      <c r="D6" s="12" t="s">
        <v>100</v>
      </c>
      <c r="E6" s="29" t="s">
        <v>101</v>
      </c>
      <c r="F6" s="29" t="s">
        <v>102</v>
      </c>
      <c r="G6" s="29" t="s">
        <v>103</v>
      </c>
      <c r="H6" s="26" t="s">
        <v>3</v>
      </c>
      <c r="I6" s="29" t="s">
        <v>104</v>
      </c>
      <c r="J6" s="29" t="s">
        <v>105</v>
      </c>
      <c r="K6" s="12" t="s">
        <v>106</v>
      </c>
      <c r="L6" s="12" t="s">
        <v>107</v>
      </c>
      <c r="M6" s="12" t="s">
        <v>108</v>
      </c>
      <c r="N6" s="12" t="s">
        <v>1</v>
      </c>
      <c r="O6" s="12" t="s">
        <v>146</v>
      </c>
      <c r="P6" s="29" t="s">
        <v>147</v>
      </c>
    </row>
    <row r="7" spans="1:19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19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19">
      <c r="A9" s="15" t="s">
        <v>112</v>
      </c>
      <c r="B9" s="10" t="s">
        <v>148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9">
      <c r="A10" s="16" t="s">
        <v>113</v>
      </c>
      <c r="B10" s="17"/>
      <c r="C10" s="13" t="s">
        <v>148</v>
      </c>
      <c r="D10" s="13" t="s">
        <v>148</v>
      </c>
      <c r="E10" s="13" t="s">
        <v>148</v>
      </c>
      <c r="F10" s="13" t="s">
        <v>148</v>
      </c>
      <c r="G10" s="13" t="s">
        <v>148</v>
      </c>
      <c r="H10" s="13" t="s">
        <v>148</v>
      </c>
      <c r="I10" s="13"/>
      <c r="J10" s="13"/>
      <c r="K10" s="13" t="s">
        <v>148</v>
      </c>
      <c r="L10" s="13" t="s">
        <v>148</v>
      </c>
      <c r="M10" s="13" t="s">
        <v>148</v>
      </c>
      <c r="N10" s="13" t="s">
        <v>148</v>
      </c>
      <c r="O10" s="13"/>
      <c r="P10" s="13"/>
    </row>
    <row r="11" spans="1:19">
      <c r="A11" t="s">
        <v>114</v>
      </c>
      <c r="S11" t="s">
        <v>227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R21"/>
  <sheetViews>
    <sheetView workbookViewId="0"/>
  </sheetViews>
  <sheetFormatPr defaultRowHeight="13.5"/>
  <sheetData>
    <row r="1" spans="1:18">
      <c r="A1" s="18"/>
      <c r="B1" s="18" t="s">
        <v>117</v>
      </c>
      <c r="C1" s="19" t="s">
        <v>118</v>
      </c>
    </row>
    <row r="2" spans="1:18">
      <c r="A2" s="18"/>
      <c r="B2" s="18" t="s">
        <v>116</v>
      </c>
      <c r="C2" s="21" t="s">
        <v>118</v>
      </c>
    </row>
    <row r="3" spans="1:18">
      <c r="A3" s="22"/>
      <c r="B3" s="20"/>
      <c r="C3" s="20"/>
    </row>
    <row r="4" spans="1:18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18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144</v>
      </c>
      <c r="P5" s="12" t="s">
        <v>145</v>
      </c>
    </row>
    <row r="6" spans="1:18">
      <c r="A6" s="15" t="s">
        <v>4</v>
      </c>
      <c r="B6" s="28" t="s">
        <v>0</v>
      </c>
      <c r="C6" s="29" t="s">
        <v>99</v>
      </c>
      <c r="D6" s="29" t="s">
        <v>100</v>
      </c>
      <c r="E6" s="29" t="s">
        <v>101</v>
      </c>
      <c r="F6" s="29" t="s">
        <v>102</v>
      </c>
      <c r="G6" s="29" t="s">
        <v>103</v>
      </c>
      <c r="H6" s="29" t="s">
        <v>3</v>
      </c>
      <c r="I6" s="29" t="s">
        <v>104</v>
      </c>
      <c r="J6" s="29" t="s">
        <v>105</v>
      </c>
      <c r="K6" s="29" t="s">
        <v>106</v>
      </c>
      <c r="L6" s="12" t="s">
        <v>107</v>
      </c>
      <c r="M6" s="12" t="s">
        <v>108</v>
      </c>
      <c r="N6" s="12" t="s">
        <v>1</v>
      </c>
      <c r="O6" s="12" t="s">
        <v>146</v>
      </c>
      <c r="P6" s="12" t="s">
        <v>147</v>
      </c>
    </row>
    <row r="7" spans="1:18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18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18">
      <c r="A9" s="15" t="s">
        <v>112</v>
      </c>
      <c r="B9" s="10" t="s">
        <v>148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8">
      <c r="A10" s="16" t="s">
        <v>113</v>
      </c>
      <c r="B10" s="17"/>
      <c r="C10" s="13" t="s">
        <v>148</v>
      </c>
      <c r="D10" s="13" t="s">
        <v>148</v>
      </c>
      <c r="E10" s="13" t="s">
        <v>148</v>
      </c>
      <c r="F10" s="13" t="s">
        <v>148</v>
      </c>
      <c r="G10" s="13" t="s">
        <v>148</v>
      </c>
      <c r="H10" s="13" t="s">
        <v>148</v>
      </c>
      <c r="I10" s="13"/>
      <c r="J10" s="13"/>
      <c r="K10" s="13" t="s">
        <v>148</v>
      </c>
      <c r="L10" s="13" t="s">
        <v>148</v>
      </c>
      <c r="M10" s="13" t="s">
        <v>148</v>
      </c>
      <c r="N10" s="13" t="s">
        <v>148</v>
      </c>
      <c r="O10" s="13"/>
      <c r="P10" s="13"/>
    </row>
    <row r="11" spans="1:18">
      <c r="A11" t="s">
        <v>114</v>
      </c>
      <c r="B11">
        <v>1</v>
      </c>
      <c r="C11" s="37" t="s">
        <v>182</v>
      </c>
      <c r="D11" t="s">
        <v>159</v>
      </c>
      <c r="E11" t="s">
        <v>151</v>
      </c>
      <c r="F11" t="s">
        <v>160</v>
      </c>
      <c r="G11" t="s">
        <v>161</v>
      </c>
      <c r="H11" t="s">
        <v>162</v>
      </c>
      <c r="I11">
        <v>1</v>
      </c>
      <c r="J11">
        <v>160</v>
      </c>
      <c r="K11" t="s">
        <v>163</v>
      </c>
      <c r="O11">
        <v>2026</v>
      </c>
      <c r="P11">
        <v>202609</v>
      </c>
      <c r="R11" t="s">
        <v>228</v>
      </c>
    </row>
    <row r="12" spans="1:18">
      <c r="B12">
        <v>2</v>
      </c>
      <c r="C12" s="37" t="s">
        <v>182</v>
      </c>
      <c r="D12" t="s">
        <v>159</v>
      </c>
      <c r="E12" t="s">
        <v>151</v>
      </c>
      <c r="F12" t="s">
        <v>160</v>
      </c>
      <c r="G12" t="s">
        <v>161</v>
      </c>
      <c r="H12" t="s">
        <v>156</v>
      </c>
      <c r="I12">
        <v>1</v>
      </c>
      <c r="J12">
        <v>-160</v>
      </c>
      <c r="K12" t="s">
        <v>163</v>
      </c>
      <c r="O12">
        <v>2026</v>
      </c>
      <c r="P12">
        <v>202609</v>
      </c>
      <c r="R12" t="s">
        <v>229</v>
      </c>
    </row>
    <row r="13" spans="1:18">
      <c r="B13">
        <v>3</v>
      </c>
      <c r="C13" s="37" t="s">
        <v>182</v>
      </c>
      <c r="D13" t="s">
        <v>159</v>
      </c>
      <c r="E13" t="s">
        <v>151</v>
      </c>
      <c r="F13" t="s">
        <v>164</v>
      </c>
      <c r="G13" t="s">
        <v>165</v>
      </c>
      <c r="H13" t="s">
        <v>166</v>
      </c>
      <c r="I13">
        <v>1</v>
      </c>
      <c r="J13">
        <v>158</v>
      </c>
      <c r="K13" t="s">
        <v>163</v>
      </c>
      <c r="O13">
        <v>2026</v>
      </c>
      <c r="P13">
        <v>202609</v>
      </c>
      <c r="R13" t="s">
        <v>230</v>
      </c>
    </row>
    <row r="14" spans="1:18">
      <c r="B14">
        <v>4</v>
      </c>
      <c r="C14" s="37" t="s">
        <v>182</v>
      </c>
      <c r="D14" t="s">
        <v>167</v>
      </c>
      <c r="E14" t="s">
        <v>168</v>
      </c>
      <c r="F14" t="s">
        <v>169</v>
      </c>
      <c r="G14" t="s">
        <v>170</v>
      </c>
      <c r="H14" t="s">
        <v>170</v>
      </c>
      <c r="I14">
        <v>1</v>
      </c>
      <c r="J14">
        <v>100</v>
      </c>
      <c r="K14" t="s">
        <v>171</v>
      </c>
      <c r="O14">
        <v>2026</v>
      </c>
      <c r="P14">
        <v>202609</v>
      </c>
      <c r="R14" t="s">
        <v>231</v>
      </c>
    </row>
    <row r="15" spans="1:18">
      <c r="B15">
        <v>5</v>
      </c>
      <c r="C15" s="37" t="s">
        <v>182</v>
      </c>
      <c r="D15" t="s">
        <v>167</v>
      </c>
      <c r="E15" t="s">
        <v>168</v>
      </c>
      <c r="F15" t="s">
        <v>169</v>
      </c>
      <c r="G15" t="s">
        <v>170</v>
      </c>
      <c r="H15" t="s">
        <v>170</v>
      </c>
      <c r="I15">
        <v>2</v>
      </c>
      <c r="J15">
        <v>200</v>
      </c>
      <c r="K15" t="s">
        <v>171</v>
      </c>
      <c r="O15">
        <v>2026</v>
      </c>
      <c r="P15">
        <v>202609</v>
      </c>
      <c r="R15" t="s">
        <v>232</v>
      </c>
    </row>
    <row r="16" spans="1:18">
      <c r="B16">
        <v>6</v>
      </c>
      <c r="C16" s="37" t="s">
        <v>182</v>
      </c>
      <c r="D16" t="s">
        <v>167</v>
      </c>
      <c r="E16" t="s">
        <v>168</v>
      </c>
      <c r="F16" t="s">
        <v>172</v>
      </c>
      <c r="G16" t="s">
        <v>173</v>
      </c>
      <c r="H16" t="s">
        <v>174</v>
      </c>
      <c r="I16">
        <v>1</v>
      </c>
      <c r="J16">
        <v>100</v>
      </c>
      <c r="K16" t="s">
        <v>171</v>
      </c>
      <c r="O16">
        <v>2026</v>
      </c>
      <c r="P16">
        <v>202609</v>
      </c>
      <c r="R16" t="s">
        <v>233</v>
      </c>
    </row>
    <row r="17" spans="2:18">
      <c r="B17">
        <v>7</v>
      </c>
      <c r="C17" s="37" t="s">
        <v>182</v>
      </c>
      <c r="D17" t="s">
        <v>167</v>
      </c>
      <c r="E17" t="s">
        <v>168</v>
      </c>
      <c r="F17" t="s">
        <v>175</v>
      </c>
      <c r="G17" t="s">
        <v>175</v>
      </c>
      <c r="H17" t="s">
        <v>176</v>
      </c>
      <c r="I17">
        <v>1</v>
      </c>
      <c r="J17">
        <v>40</v>
      </c>
      <c r="K17" t="s">
        <v>171</v>
      </c>
      <c r="O17">
        <v>2026</v>
      </c>
      <c r="P17">
        <v>202609</v>
      </c>
      <c r="R17" t="s">
        <v>234</v>
      </c>
    </row>
    <row r="18" spans="2:18">
      <c r="B18">
        <v>8</v>
      </c>
      <c r="C18" s="37" t="s">
        <v>182</v>
      </c>
      <c r="D18" t="s">
        <v>177</v>
      </c>
      <c r="E18" t="s">
        <v>151</v>
      </c>
      <c r="F18" t="s">
        <v>152</v>
      </c>
      <c r="G18" t="s">
        <v>153</v>
      </c>
      <c r="H18" t="s">
        <v>178</v>
      </c>
      <c r="I18">
        <v>1</v>
      </c>
      <c r="J18">
        <v>148</v>
      </c>
      <c r="K18" t="s">
        <v>179</v>
      </c>
      <c r="O18">
        <v>2026</v>
      </c>
      <c r="P18">
        <v>202609</v>
      </c>
      <c r="R18" t="s">
        <v>235</v>
      </c>
    </row>
    <row r="19" spans="2:18">
      <c r="B19">
        <v>9</v>
      </c>
      <c r="C19" s="37" t="s">
        <v>182</v>
      </c>
      <c r="D19" t="s">
        <v>177</v>
      </c>
      <c r="E19" t="s">
        <v>151</v>
      </c>
      <c r="F19" t="s">
        <v>152</v>
      </c>
      <c r="G19" t="s">
        <v>153</v>
      </c>
      <c r="H19" t="s">
        <v>156</v>
      </c>
      <c r="I19">
        <v>1</v>
      </c>
      <c r="J19">
        <v>-30</v>
      </c>
      <c r="K19" t="s">
        <v>179</v>
      </c>
      <c r="O19">
        <v>2026</v>
      </c>
      <c r="P19">
        <v>202609</v>
      </c>
      <c r="R19" t="s">
        <v>236</v>
      </c>
    </row>
    <row r="20" spans="2:18">
      <c r="B20">
        <v>10</v>
      </c>
      <c r="C20" s="37" t="s">
        <v>182</v>
      </c>
      <c r="D20" t="s">
        <v>177</v>
      </c>
      <c r="E20" t="s">
        <v>151</v>
      </c>
      <c r="F20" t="s">
        <v>160</v>
      </c>
      <c r="G20" t="s">
        <v>180</v>
      </c>
      <c r="H20" t="s">
        <v>181</v>
      </c>
      <c r="I20">
        <v>1</v>
      </c>
      <c r="J20">
        <v>108</v>
      </c>
      <c r="K20" t="s">
        <v>179</v>
      </c>
      <c r="O20">
        <v>2026</v>
      </c>
      <c r="P20">
        <v>202609</v>
      </c>
      <c r="R20" t="s">
        <v>237</v>
      </c>
    </row>
    <row r="21" spans="2:18">
      <c r="B21">
        <v>11</v>
      </c>
      <c r="C21" s="37" t="s">
        <v>182</v>
      </c>
      <c r="D21" t="s">
        <v>177</v>
      </c>
      <c r="E21" t="s">
        <v>151</v>
      </c>
      <c r="F21" t="s">
        <v>175</v>
      </c>
      <c r="G21" t="s">
        <v>175</v>
      </c>
      <c r="H21" t="s">
        <v>176</v>
      </c>
      <c r="I21">
        <v>1</v>
      </c>
      <c r="J21">
        <v>18</v>
      </c>
      <c r="K21" t="s">
        <v>179</v>
      </c>
      <c r="O21">
        <v>2026</v>
      </c>
      <c r="P21">
        <v>202609</v>
      </c>
      <c r="R21" t="s">
        <v>238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U21"/>
  <sheetViews>
    <sheetView workbookViewId="0"/>
  </sheetViews>
  <sheetFormatPr defaultRowHeight="13.5"/>
  <sheetData>
    <row r="1" spans="1:21">
      <c r="A1" s="18"/>
      <c r="B1" s="18" t="s">
        <v>117</v>
      </c>
      <c r="C1" s="19" t="s">
        <v>118</v>
      </c>
    </row>
    <row r="2" spans="1:21">
      <c r="A2" s="18"/>
      <c r="B2" s="18" t="s">
        <v>116</v>
      </c>
      <c r="C2" s="21" t="s">
        <v>118</v>
      </c>
    </row>
    <row r="3" spans="1:21">
      <c r="A3" s="22"/>
      <c r="B3" s="20"/>
      <c r="C3" s="20"/>
    </row>
    <row r="4" spans="1:21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21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144</v>
      </c>
      <c r="P5" s="12" t="s">
        <v>145</v>
      </c>
    </row>
    <row r="6" spans="1:21">
      <c r="A6" s="15" t="s">
        <v>4</v>
      </c>
      <c r="B6" s="28" t="s">
        <v>0</v>
      </c>
      <c r="C6" s="29" t="s">
        <v>99</v>
      </c>
      <c r="D6" s="29" t="s">
        <v>100</v>
      </c>
      <c r="E6" s="29" t="s">
        <v>101</v>
      </c>
      <c r="F6" s="29" t="s">
        <v>102</v>
      </c>
      <c r="G6" s="29" t="s">
        <v>103</v>
      </c>
      <c r="H6" s="29" t="s">
        <v>3</v>
      </c>
      <c r="I6" s="29" t="s">
        <v>104</v>
      </c>
      <c r="J6" s="29" t="s">
        <v>105</v>
      </c>
      <c r="K6" s="29" t="s">
        <v>106</v>
      </c>
      <c r="L6" s="29" t="s">
        <v>107</v>
      </c>
      <c r="M6" s="12" t="s">
        <v>108</v>
      </c>
      <c r="N6" s="12" t="s">
        <v>1</v>
      </c>
      <c r="O6" s="12" t="s">
        <v>146</v>
      </c>
      <c r="P6" s="12" t="s">
        <v>147</v>
      </c>
    </row>
    <row r="7" spans="1:21" ht="12.75" customHeight="1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21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21">
      <c r="A9" s="15" t="s">
        <v>112</v>
      </c>
      <c r="B9" s="27" t="s">
        <v>115</v>
      </c>
      <c r="C9" s="27"/>
      <c r="D9" s="38"/>
      <c r="E9" s="38"/>
      <c r="F9" s="38"/>
      <c r="G9" s="27"/>
      <c r="H9" s="27"/>
      <c r="I9" s="10"/>
      <c r="J9" s="10"/>
      <c r="K9" s="10"/>
      <c r="L9" s="10"/>
      <c r="M9" s="12"/>
      <c r="N9" s="12"/>
      <c r="O9" s="12"/>
      <c r="P9" s="12"/>
    </row>
    <row r="10" spans="1:21">
      <c r="A10" s="16" t="s">
        <v>113</v>
      </c>
      <c r="B10" s="17"/>
      <c r="C10" s="13" t="s">
        <v>122</v>
      </c>
      <c r="D10" s="13" t="s">
        <v>122</v>
      </c>
      <c r="E10" s="13" t="s">
        <v>122</v>
      </c>
      <c r="F10" s="13" t="s">
        <v>122</v>
      </c>
      <c r="G10" s="13" t="s">
        <v>122</v>
      </c>
      <c r="H10" s="13" t="s">
        <v>122</v>
      </c>
      <c r="I10" s="13"/>
      <c r="J10" s="13"/>
      <c r="K10" s="13" t="s">
        <v>122</v>
      </c>
      <c r="L10" s="13" t="s">
        <v>122</v>
      </c>
      <c r="M10" s="13" t="s">
        <v>148</v>
      </c>
      <c r="N10" s="13" t="s">
        <v>148</v>
      </c>
      <c r="O10" s="13"/>
      <c r="P10" s="13"/>
    </row>
    <row r="11" spans="1:21">
      <c r="A11" t="s">
        <v>114</v>
      </c>
      <c r="B11">
        <v>1</v>
      </c>
      <c r="C11" s="37" t="s">
        <v>182</v>
      </c>
      <c r="D11" t="s">
        <v>159</v>
      </c>
      <c r="E11" t="s">
        <v>151</v>
      </c>
      <c r="F11" t="s">
        <v>160</v>
      </c>
      <c r="G11" t="s">
        <v>161</v>
      </c>
      <c r="H11" t="s">
        <v>162</v>
      </c>
      <c r="I11">
        <v>1</v>
      </c>
      <c r="J11">
        <v>160</v>
      </c>
      <c r="K11" t="s">
        <v>163</v>
      </c>
      <c r="O11">
        <v>2026</v>
      </c>
      <c r="P11">
        <v>202609</v>
      </c>
      <c r="R11" t="s">
        <v>196</v>
      </c>
      <c r="S11" t="s">
        <v>185</v>
      </c>
      <c r="T11" t="s">
        <v>207</v>
      </c>
    </row>
    <row r="12" spans="1:21">
      <c r="B12">
        <v>2</v>
      </c>
      <c r="C12" s="37" t="s">
        <v>182</v>
      </c>
      <c r="D12" t="s">
        <v>159</v>
      </c>
      <c r="E12" t="s">
        <v>151</v>
      </c>
      <c r="F12" t="s">
        <v>160</v>
      </c>
      <c r="G12" t="s">
        <v>161</v>
      </c>
      <c r="H12" t="s">
        <v>156</v>
      </c>
      <c r="I12">
        <v>1</v>
      </c>
      <c r="J12">
        <v>-160</v>
      </c>
      <c r="K12" t="s">
        <v>163</v>
      </c>
      <c r="O12">
        <v>2026</v>
      </c>
      <c r="P12">
        <v>202609</v>
      </c>
      <c r="R12" t="s">
        <v>197</v>
      </c>
      <c r="S12" t="s">
        <v>186</v>
      </c>
      <c r="T12" t="s">
        <v>208</v>
      </c>
    </row>
    <row r="13" spans="1:21">
      <c r="B13">
        <v>3</v>
      </c>
      <c r="C13" s="37" t="s">
        <v>182</v>
      </c>
      <c r="D13" t="s">
        <v>159</v>
      </c>
      <c r="E13" t="s">
        <v>151</v>
      </c>
      <c r="F13" t="s">
        <v>164</v>
      </c>
      <c r="G13" t="s">
        <v>165</v>
      </c>
      <c r="H13" t="s">
        <v>166</v>
      </c>
      <c r="I13">
        <v>1</v>
      </c>
      <c r="J13">
        <v>158</v>
      </c>
      <c r="K13" t="s">
        <v>163</v>
      </c>
      <c r="O13">
        <v>2026</v>
      </c>
      <c r="P13">
        <v>202609</v>
      </c>
      <c r="R13" t="s">
        <v>198</v>
      </c>
      <c r="S13" t="s">
        <v>187</v>
      </c>
      <c r="T13" t="s">
        <v>209</v>
      </c>
    </row>
    <row r="14" spans="1:21">
      <c r="B14">
        <v>4</v>
      </c>
      <c r="C14" s="37" t="s">
        <v>182</v>
      </c>
      <c r="D14" t="s">
        <v>167</v>
      </c>
      <c r="E14" t="s">
        <v>168</v>
      </c>
      <c r="F14" t="s">
        <v>169</v>
      </c>
      <c r="G14" t="s">
        <v>170</v>
      </c>
      <c r="H14" t="s">
        <v>170</v>
      </c>
      <c r="I14">
        <v>1</v>
      </c>
      <c r="J14">
        <v>100</v>
      </c>
      <c r="K14" s="25" t="s">
        <v>221</v>
      </c>
      <c r="O14">
        <v>2026</v>
      </c>
      <c r="P14">
        <v>202609</v>
      </c>
      <c r="R14" t="s">
        <v>199</v>
      </c>
      <c r="S14" t="s">
        <v>188</v>
      </c>
      <c r="T14" t="s">
        <v>210</v>
      </c>
      <c r="U14" t="s">
        <v>222</v>
      </c>
    </row>
    <row r="15" spans="1:21">
      <c r="B15">
        <v>5</v>
      </c>
      <c r="C15" s="37" t="s">
        <v>182</v>
      </c>
      <c r="D15" t="s">
        <v>167</v>
      </c>
      <c r="E15" t="s">
        <v>168</v>
      </c>
      <c r="F15" t="s">
        <v>169</v>
      </c>
      <c r="G15" t="s">
        <v>170</v>
      </c>
      <c r="H15" t="s">
        <v>170</v>
      </c>
      <c r="I15">
        <v>2</v>
      </c>
      <c r="J15">
        <v>200</v>
      </c>
      <c r="K15" s="25" t="s">
        <v>221</v>
      </c>
      <c r="O15">
        <v>2026</v>
      </c>
      <c r="P15">
        <v>202609</v>
      </c>
      <c r="R15" t="s">
        <v>200</v>
      </c>
      <c r="S15" t="s">
        <v>189</v>
      </c>
      <c r="T15" t="s">
        <v>211</v>
      </c>
      <c r="U15" t="s">
        <v>223</v>
      </c>
    </row>
    <row r="16" spans="1:21">
      <c r="B16">
        <v>6</v>
      </c>
      <c r="C16" s="37" t="s">
        <v>182</v>
      </c>
      <c r="D16" t="s">
        <v>167</v>
      </c>
      <c r="E16" t="s">
        <v>168</v>
      </c>
      <c r="F16" t="s">
        <v>172</v>
      </c>
      <c r="G16" t="s">
        <v>173</v>
      </c>
      <c r="H16" t="s">
        <v>174</v>
      </c>
      <c r="I16">
        <v>1</v>
      </c>
      <c r="J16">
        <v>100</v>
      </c>
      <c r="K16" s="25" t="s">
        <v>221</v>
      </c>
      <c r="O16">
        <v>2026</v>
      </c>
      <c r="P16">
        <v>202609</v>
      </c>
      <c r="R16" t="s">
        <v>201</v>
      </c>
      <c r="S16" t="s">
        <v>190</v>
      </c>
      <c r="T16" t="s">
        <v>212</v>
      </c>
      <c r="U16" t="s">
        <v>224</v>
      </c>
    </row>
    <row r="17" spans="2:21">
      <c r="B17">
        <v>7</v>
      </c>
      <c r="C17" s="37" t="s">
        <v>182</v>
      </c>
      <c r="D17" t="s">
        <v>167</v>
      </c>
      <c r="E17" t="s">
        <v>168</v>
      </c>
      <c r="F17" t="s">
        <v>175</v>
      </c>
      <c r="G17" t="s">
        <v>175</v>
      </c>
      <c r="H17" t="s">
        <v>176</v>
      </c>
      <c r="I17">
        <v>1</v>
      </c>
      <c r="J17">
        <v>40</v>
      </c>
      <c r="K17" s="25" t="s">
        <v>221</v>
      </c>
      <c r="O17">
        <v>2026</v>
      </c>
      <c r="P17">
        <v>202609</v>
      </c>
      <c r="R17" t="s">
        <v>202</v>
      </c>
      <c r="S17" t="s">
        <v>191</v>
      </c>
      <c r="T17" t="s">
        <v>213</v>
      </c>
      <c r="U17" t="s">
        <v>225</v>
      </c>
    </row>
    <row r="18" spans="2:21">
      <c r="B18">
        <v>8</v>
      </c>
      <c r="C18" s="37" t="s">
        <v>182</v>
      </c>
      <c r="D18" t="s">
        <v>177</v>
      </c>
      <c r="E18" t="s">
        <v>151</v>
      </c>
      <c r="F18" t="s">
        <v>152</v>
      </c>
      <c r="G18" s="25" t="s">
        <v>154</v>
      </c>
      <c r="H18" s="25" t="s">
        <v>220</v>
      </c>
      <c r="I18">
        <v>1</v>
      </c>
      <c r="J18">
        <v>148</v>
      </c>
      <c r="K18" t="s">
        <v>179</v>
      </c>
      <c r="O18">
        <v>2026</v>
      </c>
      <c r="P18">
        <v>202609</v>
      </c>
      <c r="R18" t="s">
        <v>203</v>
      </c>
      <c r="S18" t="s">
        <v>192</v>
      </c>
      <c r="T18" t="s">
        <v>214</v>
      </c>
      <c r="U18" t="s">
        <v>226</v>
      </c>
    </row>
    <row r="19" spans="2:21">
      <c r="B19">
        <v>9</v>
      </c>
      <c r="C19" s="37" t="s">
        <v>182</v>
      </c>
      <c r="D19" t="s">
        <v>177</v>
      </c>
      <c r="E19" t="s">
        <v>151</v>
      </c>
      <c r="F19" t="s">
        <v>152</v>
      </c>
      <c r="G19" s="25" t="s">
        <v>183</v>
      </c>
      <c r="H19" t="s">
        <v>156</v>
      </c>
      <c r="I19">
        <v>1</v>
      </c>
      <c r="J19">
        <v>-30</v>
      </c>
      <c r="K19" t="s">
        <v>179</v>
      </c>
      <c r="O19">
        <v>2026</v>
      </c>
      <c r="P19">
        <v>202609</v>
      </c>
      <c r="R19" t="s">
        <v>204</v>
      </c>
      <c r="S19" t="s">
        <v>193</v>
      </c>
      <c r="T19" t="s">
        <v>215</v>
      </c>
      <c r="U19" t="s">
        <v>218</v>
      </c>
    </row>
    <row r="20" spans="2:21">
      <c r="B20">
        <v>10</v>
      </c>
      <c r="C20" s="37" t="s">
        <v>182</v>
      </c>
      <c r="D20" t="s">
        <v>177</v>
      </c>
      <c r="E20" t="s">
        <v>151</v>
      </c>
      <c r="F20" t="s">
        <v>160</v>
      </c>
      <c r="G20" t="s">
        <v>180</v>
      </c>
      <c r="H20" s="25" t="s">
        <v>184</v>
      </c>
      <c r="I20">
        <v>1</v>
      </c>
      <c r="J20">
        <v>108</v>
      </c>
      <c r="K20" t="s">
        <v>179</v>
      </c>
      <c r="O20">
        <v>2026</v>
      </c>
      <c r="P20">
        <v>202609</v>
      </c>
      <c r="R20" t="s">
        <v>205</v>
      </c>
      <c r="S20" t="s">
        <v>194</v>
      </c>
      <c r="T20" t="s">
        <v>216</v>
      </c>
      <c r="U20" t="s">
        <v>219</v>
      </c>
    </row>
    <row r="21" spans="2:21">
      <c r="B21">
        <v>11</v>
      </c>
      <c r="C21" s="37" t="s">
        <v>182</v>
      </c>
      <c r="D21" t="s">
        <v>177</v>
      </c>
      <c r="E21" t="s">
        <v>151</v>
      </c>
      <c r="F21" t="s">
        <v>175</v>
      </c>
      <c r="G21" t="s">
        <v>175</v>
      </c>
      <c r="H21" t="s">
        <v>176</v>
      </c>
      <c r="I21">
        <v>1</v>
      </c>
      <c r="J21">
        <v>18</v>
      </c>
      <c r="K21" t="s">
        <v>179</v>
      </c>
      <c r="O21">
        <v>2026</v>
      </c>
      <c r="P21">
        <v>202609</v>
      </c>
      <c r="R21" t="s">
        <v>206</v>
      </c>
      <c r="S21" t="s">
        <v>195</v>
      </c>
      <c r="T21" t="s">
        <v>217</v>
      </c>
    </row>
  </sheetData>
  <phoneticPr fontId="1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61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7.25" style="3" customWidth="1"/>
    <col min="2" max="2" width="17.375" style="5" customWidth="1"/>
    <col min="3" max="3" width="4.25" style="3" customWidth="1"/>
    <col min="4" max="4" width="35.75" style="3" customWidth="1"/>
    <col min="5" max="5" width="14.875" style="3" customWidth="1"/>
    <col min="7" max="16384" width="9" style="3"/>
  </cols>
  <sheetData>
    <row r="1" spans="1:6" s="1" customFormat="1">
      <c r="A1" s="1" t="s">
        <v>7</v>
      </c>
      <c r="B1" s="2" t="s">
        <v>8</v>
      </c>
      <c r="D1" s="1" t="s">
        <v>9</v>
      </c>
      <c r="E1" s="1" t="s">
        <v>10</v>
      </c>
      <c r="F1"/>
    </row>
    <row r="2" spans="1:6">
      <c r="A2" t="s">
        <v>11</v>
      </c>
      <c r="B2" s="4" t="s">
        <v>139</v>
      </c>
      <c r="D2" s="3" t="s">
        <v>98</v>
      </c>
      <c r="E2" s="5" t="str">
        <f>"range("""&amp;A2&amp;""").value"</f>
        <v>range("directory").value</v>
      </c>
    </row>
    <row r="3" spans="1:6">
      <c r="A3" t="s">
        <v>12</v>
      </c>
      <c r="B3" s="4" t="s">
        <v>139</v>
      </c>
      <c r="D3" s="3" t="s">
        <v>13</v>
      </c>
      <c r="E3" s="5" t="str">
        <f t="shared" ref="E3:E28" si="0">"range("""&amp;A3&amp;""").value"</f>
        <v>range("ctldestdir").value</v>
      </c>
    </row>
    <row r="4" spans="1:6">
      <c r="A4" t="s">
        <v>14</v>
      </c>
      <c r="B4" s="4" t="s">
        <v>140</v>
      </c>
      <c r="D4" s="3" t="s">
        <v>15</v>
      </c>
      <c r="E4" s="5" t="str">
        <f t="shared" si="0"/>
        <v>range("loaddatadir").value</v>
      </c>
    </row>
    <row r="5" spans="1:6" customFormat="1">
      <c r="A5" t="s">
        <v>141</v>
      </c>
      <c r="B5" s="4" t="s">
        <v>142</v>
      </c>
      <c r="D5" t="s">
        <v>143</v>
      </c>
      <c r="E5" s="24" t="str">
        <f t="shared" si="0"/>
        <v>range("DB3file").value</v>
      </c>
    </row>
    <row r="6" spans="1:6">
      <c r="B6" s="4"/>
      <c r="E6" s="5"/>
    </row>
    <row r="7" spans="1:6">
      <c r="D7" s="6" t="s">
        <v>16</v>
      </c>
      <c r="E7" s="5"/>
    </row>
    <row r="8" spans="1:6">
      <c r="A8" s="3" t="s">
        <v>17</v>
      </c>
      <c r="B8" s="7">
        <v>2</v>
      </c>
      <c r="D8" s="3" t="s">
        <v>18</v>
      </c>
      <c r="E8" s="5" t="str">
        <f>"range("""&amp;A8&amp;""").value"</f>
        <v>range("tablesheet_name_col").value</v>
      </c>
    </row>
    <row r="9" spans="1:6">
      <c r="A9" s="3" t="s">
        <v>19</v>
      </c>
      <c r="B9" s="7">
        <v>3</v>
      </c>
      <c r="D9" s="3" t="s">
        <v>20</v>
      </c>
      <c r="E9" s="5" t="str">
        <f t="shared" si="0"/>
        <v>range("RecRows_col").value</v>
      </c>
    </row>
    <row r="10" spans="1:6">
      <c r="A10" s="3" t="s">
        <v>21</v>
      </c>
      <c r="B10" s="7">
        <v>4</v>
      </c>
      <c r="D10" s="3" t="s">
        <v>22</v>
      </c>
      <c r="E10" s="5" t="str">
        <f t="shared" si="0"/>
        <v>range("RecLen_col").value</v>
      </c>
    </row>
    <row r="11" spans="1:6" customFormat="1">
      <c r="A11" t="s">
        <v>23</v>
      </c>
      <c r="B11" s="23">
        <v>5</v>
      </c>
      <c r="D11" t="s">
        <v>24</v>
      </c>
      <c r="E11" s="24" t="str">
        <f t="shared" si="0"/>
        <v>range("RecPerBlock_col").value</v>
      </c>
    </row>
    <row r="12" spans="1:6">
      <c r="A12" s="3" t="s">
        <v>25</v>
      </c>
      <c r="B12" s="7">
        <v>6</v>
      </c>
      <c r="D12" s="3" t="s">
        <v>26</v>
      </c>
      <c r="E12" s="5" t="str">
        <f t="shared" si="0"/>
        <v>range("Bloks_col").value</v>
      </c>
    </row>
    <row r="13" spans="1:6">
      <c r="A13" s="3" t="s">
        <v>27</v>
      </c>
      <c r="B13" s="7">
        <v>7</v>
      </c>
      <c r="D13" s="3" t="s">
        <v>28</v>
      </c>
      <c r="E13" s="5" t="str">
        <f t="shared" si="0"/>
        <v>range("Size_col").value</v>
      </c>
    </row>
    <row r="14" spans="1:6">
      <c r="A14" s="3" t="s">
        <v>29</v>
      </c>
      <c r="B14" s="7">
        <v>8</v>
      </c>
      <c r="D14" s="3" t="s">
        <v>30</v>
      </c>
      <c r="E14" s="5" t="str">
        <f t="shared" si="0"/>
        <v>range("INIT_col").value</v>
      </c>
    </row>
    <row r="15" spans="1:6">
      <c r="A15" s="3" t="s">
        <v>31</v>
      </c>
      <c r="B15" s="7">
        <v>9</v>
      </c>
      <c r="D15" s="3" t="s">
        <v>32</v>
      </c>
      <c r="E15" s="5" t="str">
        <f t="shared" si="0"/>
        <v>range("NEXT_col").value</v>
      </c>
    </row>
    <row r="16" spans="1:6">
      <c r="A16" s="3" t="s">
        <v>33</v>
      </c>
      <c r="B16" s="7">
        <v>10</v>
      </c>
      <c r="D16" s="3" t="s">
        <v>34</v>
      </c>
      <c r="E16" s="5" t="str">
        <f t="shared" si="0"/>
        <v>range("MAX_col").value</v>
      </c>
    </row>
    <row r="17" spans="1:5">
      <c r="A17" s="3" t="s">
        <v>35</v>
      </c>
      <c r="B17" s="7">
        <v>11</v>
      </c>
      <c r="D17" s="3" t="s">
        <v>36</v>
      </c>
      <c r="E17" s="5" t="str">
        <f t="shared" si="0"/>
        <v>range("INCREASE_col").value</v>
      </c>
    </row>
    <row r="18" spans="1:5">
      <c r="A18" s="3" t="s">
        <v>37</v>
      </c>
      <c r="B18" s="7">
        <v>12</v>
      </c>
      <c r="D18" s="3" t="s">
        <v>38</v>
      </c>
      <c r="E18" s="5" t="str">
        <f t="shared" si="0"/>
        <v>range("PCTFREE_col").value</v>
      </c>
    </row>
    <row r="19" spans="1:5">
      <c r="A19" s="3" t="s">
        <v>39</v>
      </c>
      <c r="B19" s="7">
        <v>13</v>
      </c>
      <c r="D19" s="3" t="s">
        <v>40</v>
      </c>
      <c r="E19" s="5" t="str">
        <f t="shared" si="0"/>
        <v>range("PCTUSED_col").value</v>
      </c>
    </row>
    <row r="20" spans="1:5">
      <c r="A20" s="3" t="s">
        <v>41</v>
      </c>
      <c r="B20" s="7">
        <v>14</v>
      </c>
      <c r="D20" s="3" t="s">
        <v>42</v>
      </c>
      <c r="E20" s="5" t="str">
        <f t="shared" si="0"/>
        <v>range("SEGMENT_col").value</v>
      </c>
    </row>
    <row r="21" spans="1:5">
      <c r="A21" s="3" t="s">
        <v>43</v>
      </c>
      <c r="B21" s="7">
        <v>15</v>
      </c>
      <c r="D21" s="3" t="s">
        <v>44</v>
      </c>
      <c r="E21" s="5" t="str">
        <f t="shared" si="0"/>
        <v>range("tablespace_col").value</v>
      </c>
    </row>
    <row r="22" spans="1:5">
      <c r="A22" s="3" t="s">
        <v>45</v>
      </c>
      <c r="B22" s="7">
        <v>16</v>
      </c>
      <c r="D22" s="3" t="s">
        <v>46</v>
      </c>
      <c r="E22" s="5" t="str">
        <f t="shared" si="0"/>
        <v>range("tablespaceidx_col").value</v>
      </c>
    </row>
    <row r="23" spans="1:5">
      <c r="A23" s="3" t="s">
        <v>47</v>
      </c>
      <c r="B23" s="7">
        <v>18</v>
      </c>
      <c r="D23" s="3" t="s">
        <v>48</v>
      </c>
      <c r="E23" s="5" t="str">
        <f t="shared" si="0"/>
        <v>range("DDL_TS_col").value</v>
      </c>
    </row>
    <row r="24" spans="1:5">
      <c r="A24" s="3" t="s">
        <v>49</v>
      </c>
      <c r="B24" s="7">
        <v>19</v>
      </c>
      <c r="D24" s="3" t="s">
        <v>50</v>
      </c>
      <c r="E24" s="5" t="str">
        <f t="shared" si="0"/>
        <v>range("DDL_flag_col").value</v>
      </c>
    </row>
    <row r="25" spans="1:5">
      <c r="A25" s="3" t="s">
        <v>51</v>
      </c>
      <c r="B25" s="7">
        <v>20</v>
      </c>
      <c r="D25" s="3" t="s">
        <v>52</v>
      </c>
      <c r="E25" s="5" t="str">
        <f t="shared" si="0"/>
        <v>range("MAX_flag_col").value</v>
      </c>
    </row>
    <row r="26" spans="1:5">
      <c r="A26" s="3" t="s">
        <v>53</v>
      </c>
      <c r="B26" s="7">
        <v>21</v>
      </c>
      <c r="D26" s="3" t="s">
        <v>54</v>
      </c>
      <c r="E26" s="5" t="str">
        <f t="shared" si="0"/>
        <v>range("CTL_TS_col").value</v>
      </c>
    </row>
    <row r="27" spans="1:5">
      <c r="A27" s="3" t="s">
        <v>55</v>
      </c>
      <c r="B27" s="7">
        <v>22</v>
      </c>
      <c r="D27" s="3" t="s">
        <v>56</v>
      </c>
      <c r="E27" s="5" t="str">
        <f t="shared" si="0"/>
        <v>range("CTL_flag_col").value</v>
      </c>
    </row>
    <row r="28" spans="1:5">
      <c r="A28" s="3" t="s">
        <v>57</v>
      </c>
      <c r="B28" s="7">
        <v>23</v>
      </c>
      <c r="D28" s="3" t="s">
        <v>58</v>
      </c>
      <c r="E28" s="5" t="str">
        <f t="shared" si="0"/>
        <v>range("table_CD_col").value</v>
      </c>
    </row>
    <row r="29" spans="1:5">
      <c r="A29" s="5" t="s">
        <v>59</v>
      </c>
      <c r="B29" s="8">
        <v>5</v>
      </c>
      <c r="D29" s="3" t="s">
        <v>60</v>
      </c>
      <c r="E29" s="5" t="str">
        <f>"range("""&amp;A29&amp;""").value"</f>
        <v>range("TBL_row").value</v>
      </c>
    </row>
    <row r="30" spans="1:5">
      <c r="A30" s="5" t="s">
        <v>61</v>
      </c>
      <c r="B30" s="8">
        <v>40</v>
      </c>
      <c r="D30" s="3" t="s">
        <v>62</v>
      </c>
      <c r="E30" s="5" t="str">
        <f>"range("""&amp;A30&amp;""").value"</f>
        <v>range("TBL_max").value</v>
      </c>
    </row>
    <row r="31" spans="1:5">
      <c r="B31" s="7"/>
    </row>
    <row r="32" spans="1:5">
      <c r="B32" s="7"/>
      <c r="D32" s="6" t="s">
        <v>63</v>
      </c>
    </row>
    <row r="33" spans="1:5">
      <c r="A33" s="3" t="s">
        <v>64</v>
      </c>
      <c r="B33" s="7">
        <v>3</v>
      </c>
      <c r="D33" s="3" t="s">
        <v>65</v>
      </c>
      <c r="E33" s="5" t="str">
        <f>"range("""&amp;A33&amp;""").value"</f>
        <v>range("table_name_col").value</v>
      </c>
    </row>
    <row r="34" spans="1:5">
      <c r="A34" s="3" t="s">
        <v>66</v>
      </c>
      <c r="B34" s="7">
        <v>1</v>
      </c>
      <c r="D34" s="3" t="s">
        <v>67</v>
      </c>
      <c r="E34" s="5" t="str">
        <f>"range("""&amp;A34&amp;""").value"</f>
        <v>range("table_name_row").value</v>
      </c>
    </row>
    <row r="35" spans="1:5">
      <c r="A35" s="5" t="s">
        <v>68</v>
      </c>
      <c r="B35" s="7">
        <v>3</v>
      </c>
      <c r="D35" s="3" t="s">
        <v>69</v>
      </c>
      <c r="E35" s="5" t="str">
        <f>"range("""&amp;A35&amp;""").value"</f>
        <v>range("TBLCDNM_col").value</v>
      </c>
    </row>
    <row r="36" spans="1:5">
      <c r="A36" s="5" t="s">
        <v>70</v>
      </c>
      <c r="B36" s="7">
        <v>2</v>
      </c>
      <c r="D36" s="3" t="s">
        <v>71</v>
      </c>
      <c r="E36" s="5" t="str">
        <f>"range("""&amp;A36&amp;""").value"</f>
        <v>range("TBLCDNM_row").value</v>
      </c>
    </row>
    <row r="37" spans="1:5">
      <c r="A37" s="5" t="s">
        <v>127</v>
      </c>
      <c r="B37" s="7">
        <v>7</v>
      </c>
      <c r="D37" s="3" t="s">
        <v>128</v>
      </c>
      <c r="E37" s="5" t="str">
        <f>"range("""&amp;A37&amp;""").value"</f>
        <v>range("TTL_row").value</v>
      </c>
    </row>
    <row r="38" spans="1:5">
      <c r="A38" s="5" t="s">
        <v>72</v>
      </c>
      <c r="B38" s="7">
        <v>3</v>
      </c>
      <c r="D38" s="3" t="s">
        <v>73</v>
      </c>
      <c r="E38" s="5" t="str">
        <f t="shared" ref="E38:E50" si="1">"range("""&amp;A38&amp;""").value"</f>
        <v>range("COL_col").value</v>
      </c>
    </row>
    <row r="39" spans="1:5">
      <c r="A39" s="5" t="s">
        <v>74</v>
      </c>
      <c r="B39" s="7">
        <v>8</v>
      </c>
      <c r="D39" s="3" t="s">
        <v>75</v>
      </c>
      <c r="E39" s="5" t="str">
        <f t="shared" si="1"/>
        <v>range("COL_row").value</v>
      </c>
    </row>
    <row r="40" spans="1:5">
      <c r="A40" s="5" t="s">
        <v>76</v>
      </c>
      <c r="B40" s="8">
        <v>5</v>
      </c>
      <c r="D40" s="3" t="s">
        <v>77</v>
      </c>
      <c r="E40" s="5" t="str">
        <f t="shared" si="1"/>
        <v>range("TYP_col").value</v>
      </c>
    </row>
    <row r="41" spans="1:5">
      <c r="A41" s="5" t="s">
        <v>78</v>
      </c>
      <c r="B41" s="8">
        <v>8</v>
      </c>
      <c r="D41" s="3" t="s">
        <v>79</v>
      </c>
      <c r="E41" s="5" t="str">
        <f t="shared" si="1"/>
        <v>range("TYP_row").value</v>
      </c>
    </row>
    <row r="42" spans="1:5">
      <c r="A42" s="5" t="s">
        <v>80</v>
      </c>
      <c r="B42" s="8">
        <v>6</v>
      </c>
      <c r="D42" s="3" t="s">
        <v>81</v>
      </c>
      <c r="E42" s="5" t="str">
        <f t="shared" si="1"/>
        <v>range("LEN_col").value</v>
      </c>
    </row>
    <row r="43" spans="1:5">
      <c r="A43" s="5" t="s">
        <v>82</v>
      </c>
      <c r="B43" s="8">
        <v>8</v>
      </c>
      <c r="D43" s="3" t="s">
        <v>83</v>
      </c>
      <c r="E43" s="5" t="str">
        <f t="shared" si="1"/>
        <v>range("LEN_row").value</v>
      </c>
    </row>
    <row r="44" spans="1:5">
      <c r="A44" s="5" t="s">
        <v>84</v>
      </c>
      <c r="B44" s="8">
        <v>7</v>
      </c>
      <c r="D44" s="3" t="s">
        <v>85</v>
      </c>
      <c r="E44" s="5" t="str">
        <f t="shared" si="1"/>
        <v>range("PRIMARY_col").value</v>
      </c>
    </row>
    <row r="45" spans="1:5">
      <c r="A45" s="5" t="s">
        <v>86</v>
      </c>
      <c r="B45" s="8">
        <v>8</v>
      </c>
      <c r="D45" s="3" t="s">
        <v>87</v>
      </c>
      <c r="E45" s="5" t="str">
        <f t="shared" si="1"/>
        <v>range("NOTNULL_col").value</v>
      </c>
    </row>
    <row r="46" spans="1:5">
      <c r="A46" s="3" t="s">
        <v>88</v>
      </c>
      <c r="B46" s="8">
        <v>12</v>
      </c>
      <c r="D46" s="3" t="s">
        <v>89</v>
      </c>
      <c r="E46" s="5" t="str">
        <f t="shared" si="1"/>
        <v>range("PK_col").value</v>
      </c>
    </row>
    <row r="47" spans="1:5">
      <c r="A47" s="3" t="s">
        <v>90</v>
      </c>
      <c r="B47" s="8">
        <v>6</v>
      </c>
      <c r="D47" s="3" t="s">
        <v>91</v>
      </c>
      <c r="E47" s="5" t="str">
        <f t="shared" si="1"/>
        <v>range("uniq_row").value</v>
      </c>
    </row>
    <row r="48" spans="1:5">
      <c r="A48" s="3" t="s">
        <v>92</v>
      </c>
      <c r="B48" s="7">
        <v>13</v>
      </c>
      <c r="D48" s="3" t="s">
        <v>93</v>
      </c>
      <c r="E48" s="5" t="str">
        <f t="shared" si="1"/>
        <v>range("IDX_col").value</v>
      </c>
    </row>
    <row r="49" spans="1:5">
      <c r="A49" s="3" t="s">
        <v>94</v>
      </c>
      <c r="B49" s="7">
        <v>20</v>
      </c>
      <c r="D49" s="3" t="s">
        <v>95</v>
      </c>
      <c r="E49" s="5" t="str">
        <f t="shared" si="1"/>
        <v>range("IDX_max").value</v>
      </c>
    </row>
    <row r="50" spans="1:5">
      <c r="A50" s="5" t="s">
        <v>96</v>
      </c>
      <c r="B50" s="8">
        <v>100</v>
      </c>
      <c r="D50" s="3" t="s">
        <v>97</v>
      </c>
      <c r="E50" s="5" t="str">
        <f t="shared" si="1"/>
        <v>range("COL_max").value</v>
      </c>
    </row>
    <row r="52" spans="1:5">
      <c r="B52" s="7"/>
      <c r="D52" s="6" t="s">
        <v>119</v>
      </c>
    </row>
    <row r="53" spans="1:5">
      <c r="A53" s="5" t="s">
        <v>123</v>
      </c>
      <c r="B53" s="7">
        <v>3</v>
      </c>
      <c r="D53" s="3" t="s">
        <v>69</v>
      </c>
      <c r="E53" s="5" t="str">
        <f t="shared" ref="E53:E61" si="2">"range("""&amp;A53&amp;""").value"</f>
        <v>range("D_TBLCDNM_col").value</v>
      </c>
    </row>
    <row r="54" spans="1:5">
      <c r="A54" s="5" t="s">
        <v>124</v>
      </c>
      <c r="B54" s="7">
        <v>2</v>
      </c>
      <c r="D54" s="3" t="s">
        <v>71</v>
      </c>
      <c r="E54" s="5" t="str">
        <f t="shared" si="2"/>
        <v>range("D_TBLCDNM_row").value</v>
      </c>
    </row>
    <row r="55" spans="1:5">
      <c r="A55" s="3" t="s">
        <v>129</v>
      </c>
      <c r="B55" s="7">
        <v>2</v>
      </c>
      <c r="D55" s="3" t="s">
        <v>137</v>
      </c>
      <c r="E55" s="5" t="str">
        <f t="shared" si="2"/>
        <v>range("D_item_col").value</v>
      </c>
    </row>
    <row r="56" spans="1:5">
      <c r="A56" s="3" t="s">
        <v>136</v>
      </c>
      <c r="B56" s="7">
        <v>6</v>
      </c>
      <c r="D56" s="3" t="s">
        <v>138</v>
      </c>
      <c r="E56" s="5" t="str">
        <f t="shared" si="2"/>
        <v>range("D_item_row").value</v>
      </c>
    </row>
    <row r="57" spans="1:5">
      <c r="A57" s="3" t="s">
        <v>125</v>
      </c>
      <c r="B57" s="7">
        <v>7</v>
      </c>
      <c r="D57" s="3" t="s">
        <v>121</v>
      </c>
      <c r="E57" s="5" t="str">
        <f t="shared" si="2"/>
        <v>range("D_type_row").value</v>
      </c>
    </row>
    <row r="58" spans="1:5">
      <c r="A58" s="3" t="s">
        <v>135</v>
      </c>
      <c r="B58" s="7">
        <v>9</v>
      </c>
      <c r="D58" s="3" t="s">
        <v>134</v>
      </c>
      <c r="E58" s="5" t="str">
        <f t="shared" si="2"/>
        <v>range("D_key_row").value</v>
      </c>
    </row>
    <row r="59" spans="1:5">
      <c r="A59" s="3" t="s">
        <v>126</v>
      </c>
      <c r="B59" s="7">
        <v>10</v>
      </c>
      <c r="D59" s="3" t="s">
        <v>120</v>
      </c>
      <c r="E59" s="5" t="str">
        <f t="shared" si="2"/>
        <v>range("D_Quart_row").value</v>
      </c>
    </row>
    <row r="60" spans="1:5">
      <c r="A60" s="3" t="s">
        <v>132</v>
      </c>
      <c r="B60" s="7">
        <v>2</v>
      </c>
      <c r="D60" s="3" t="s">
        <v>133</v>
      </c>
      <c r="E60" s="5" t="str">
        <f t="shared" si="2"/>
        <v>range("D_data_col").value</v>
      </c>
    </row>
    <row r="61" spans="1:5">
      <c r="A61" s="3" t="s">
        <v>130</v>
      </c>
      <c r="B61" s="7">
        <v>11</v>
      </c>
      <c r="D61" s="3" t="s">
        <v>131</v>
      </c>
      <c r="E61" s="3" t="str">
        <f t="shared" si="2"/>
        <v>range("D_data_row").value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landscape" horizontalDpi="4294967292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支出 (塗りSELECT例)</vt:lpstr>
      <vt:lpstr>支出 (塗りUPDATE例)</vt:lpstr>
      <vt:lpstr>支出 (塗りDELETE例)</vt:lpstr>
      <vt:lpstr>支出 (塗りSELECT集計例)</vt:lpstr>
      <vt:lpstr>支出 (塗りINSERT例)</vt:lpstr>
      <vt:lpstr>雛型</vt:lpstr>
      <vt:lpstr>DefNAME</vt:lpstr>
      <vt:lpstr>Bloks_col</vt:lpstr>
      <vt:lpstr>COL_col</vt:lpstr>
      <vt:lpstr>COL_max</vt:lpstr>
      <vt:lpstr>COL_row</vt:lpstr>
      <vt:lpstr>CTL_flag_col</vt:lpstr>
      <vt:lpstr>CTL_TS_col</vt:lpstr>
      <vt:lpstr>ctldestdir</vt:lpstr>
      <vt:lpstr>D_data_col</vt:lpstr>
      <vt:lpstr>D_data_row</vt:lpstr>
      <vt:lpstr>D_item_col</vt:lpstr>
      <vt:lpstr>D_item_row</vt:lpstr>
      <vt:lpstr>D_key_row</vt:lpstr>
      <vt:lpstr>D_Quart_row</vt:lpstr>
      <vt:lpstr>D_TBLCDNM_col</vt:lpstr>
      <vt:lpstr>D_TBLCDNM_row</vt:lpstr>
      <vt:lpstr>D_type_row</vt:lpstr>
      <vt:lpstr>DB3file</vt:lpstr>
      <vt:lpstr>DDL_flag_col</vt:lpstr>
      <vt:lpstr>DDL_TS_col</vt:lpstr>
      <vt:lpstr>directory</vt:lpstr>
      <vt:lpstr>IDX_col</vt:lpstr>
      <vt:lpstr>IDX_max</vt:lpstr>
      <vt:lpstr>INCREASE_col</vt:lpstr>
      <vt:lpstr>INIT_col</vt:lpstr>
      <vt:lpstr>LEN_col</vt:lpstr>
      <vt:lpstr>LEN_row</vt:lpstr>
      <vt:lpstr>loaddatadir</vt:lpstr>
      <vt:lpstr>MAX_col</vt:lpstr>
      <vt:lpstr>MAX_flag_col</vt:lpstr>
      <vt:lpstr>NEXT_col</vt:lpstr>
      <vt:lpstr>NOTNULL_col</vt:lpstr>
      <vt:lpstr>PCTFREE_col</vt:lpstr>
      <vt:lpstr>PCTUSED_col</vt:lpstr>
      <vt:lpstr>PK_col</vt:lpstr>
      <vt:lpstr>PRIMARY_col</vt:lpstr>
      <vt:lpstr>RecLen_col</vt:lpstr>
      <vt:lpstr>RecPerBlock_col</vt:lpstr>
      <vt:lpstr>RecRows_col</vt:lpstr>
      <vt:lpstr>SEGMENT_col</vt:lpstr>
      <vt:lpstr>Size_col</vt:lpstr>
      <vt:lpstr>table_CD_col</vt:lpstr>
      <vt:lpstr>table_name_col</vt:lpstr>
      <vt:lpstr>table_name_row</vt:lpstr>
      <vt:lpstr>tablesheet_name_col</vt:lpstr>
      <vt:lpstr>tablespace_col</vt:lpstr>
      <vt:lpstr>tablespaceidx_col</vt:lpstr>
      <vt:lpstr>TBL_max</vt:lpstr>
      <vt:lpstr>TBL_row</vt:lpstr>
      <vt:lpstr>TBLCDNM_col</vt:lpstr>
      <vt:lpstr>TBLCDNM_row</vt:lpstr>
      <vt:lpstr>TTL_row</vt:lpstr>
      <vt:lpstr>TYP_col</vt:lpstr>
      <vt:lpstr>TYP_row</vt:lpstr>
      <vt:lpstr>uniq_row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hosiyama</dc:creator>
  <cp:lastModifiedBy>hosiyama</cp:lastModifiedBy>
  <dcterms:created xsi:type="dcterms:W3CDTF">2006-09-16T00:00:00Z</dcterms:created>
  <dcterms:modified xsi:type="dcterms:W3CDTF">2026-09-29T06:17:23Z</dcterms:modified>
</cp:coreProperties>
</file>